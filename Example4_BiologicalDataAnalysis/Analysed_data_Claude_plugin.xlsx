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itssastar-my.sharepoint.com/personal/ramasamyd_a-star_edu_sg/Documents/Documents/CoAI_Beginner_Workshop_materials/hands_on/Example3_BiologicalDataAnalysis/Data_analysis_Claude_plugin/"/>
    </mc:Choice>
  </mc:AlternateContent>
  <xr:revisionPtr revIDLastSave="458" documentId="8_{6F90F0B0-A5EF-41B0-A406-265F19DCF906}" xr6:coauthVersionLast="47" xr6:coauthVersionMax="47" xr10:uidLastSave="{1BA4BA34-F78C-4BE7-8EA4-7D054F5C5FB8}"/>
  <bookViews>
    <workbookView xWindow="-120" yWindow="-120" windowWidth="29040" windowHeight="15720" firstSheet="2" activeTab="2" xr2:uid="{F97B1AE6-0F9F-423F-9C3B-922536B52B09}"/>
  </bookViews>
  <sheets>
    <sheet name="Sheet1" sheetId="1" r:id="rId1"/>
    <sheet name="Analysis" sheetId="2" r:id="rId2"/>
    <sheet name="Resul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2" i="3" l="1"/>
  <c r="AB12" i="3"/>
  <c r="AC11" i="3"/>
  <c r="AB11" i="3"/>
  <c r="AC10" i="3"/>
  <c r="AB10" i="3"/>
  <c r="AC9" i="3"/>
  <c r="AB9" i="3"/>
  <c r="AC8" i="3"/>
  <c r="AB8" i="3"/>
  <c r="AC7" i="3"/>
  <c r="AB7" i="3"/>
  <c r="AC6" i="3"/>
  <c r="AB6" i="3"/>
  <c r="AC5" i="3"/>
  <c r="AB5" i="3"/>
  <c r="Z12" i="3"/>
  <c r="Y12" i="3"/>
  <c r="X12" i="3"/>
  <c r="W12" i="3"/>
  <c r="V12" i="3"/>
  <c r="Z11" i="3"/>
  <c r="Y11" i="3"/>
  <c r="X11" i="3"/>
  <c r="W11" i="3"/>
  <c r="V11" i="3"/>
  <c r="Z10" i="3"/>
  <c r="Y10" i="3"/>
  <c r="X10" i="3"/>
  <c r="W10" i="3"/>
  <c r="V10" i="3"/>
  <c r="Z9" i="3"/>
  <c r="Y9" i="3"/>
  <c r="X9" i="3"/>
  <c r="W9" i="3"/>
  <c r="V9" i="3"/>
  <c r="Z8" i="3"/>
  <c r="Y8" i="3"/>
  <c r="X8" i="3"/>
  <c r="W8" i="3"/>
  <c r="V8" i="3"/>
  <c r="Z7" i="3"/>
  <c r="Y7" i="3"/>
  <c r="X7" i="3"/>
  <c r="W7" i="3"/>
  <c r="V7" i="3"/>
  <c r="Z6" i="3"/>
  <c r="Y6" i="3"/>
  <c r="X6" i="3"/>
  <c r="W6" i="3"/>
  <c r="V6" i="3"/>
  <c r="Z5" i="3"/>
  <c r="Y5" i="3"/>
  <c r="X5" i="3"/>
  <c r="W5" i="3"/>
  <c r="V5" i="3"/>
  <c r="L12" i="3"/>
  <c r="L11" i="3"/>
  <c r="L10" i="3"/>
  <c r="L9" i="3"/>
  <c r="L8" i="3"/>
  <c r="L7" i="3"/>
  <c r="L6" i="3"/>
  <c r="L5" i="3"/>
  <c r="R12" i="3"/>
  <c r="T12" i="3" s="1"/>
  <c r="P12" i="3"/>
  <c r="I12" i="3"/>
  <c r="D12" i="3"/>
  <c r="E12" i="3" s="1"/>
  <c r="C12" i="3"/>
  <c r="S12" i="3" s="1"/>
  <c r="B12" i="3"/>
  <c r="H12" i="3" s="1"/>
  <c r="S11" i="3"/>
  <c r="R11" i="3"/>
  <c r="T11" i="3" s="1"/>
  <c r="Q11" i="3"/>
  <c r="P11" i="3"/>
  <c r="I11" i="3"/>
  <c r="H11" i="3"/>
  <c r="D11" i="3"/>
  <c r="E11" i="3" s="1"/>
  <c r="C11" i="3"/>
  <c r="B11" i="3"/>
  <c r="R10" i="3"/>
  <c r="T10" i="3" s="1"/>
  <c r="P10" i="3"/>
  <c r="D10" i="3"/>
  <c r="E10" i="3" s="1"/>
  <c r="C10" i="3"/>
  <c r="S10" i="3" s="1"/>
  <c r="B10" i="3"/>
  <c r="I10" i="3" s="1"/>
  <c r="S9" i="3"/>
  <c r="R9" i="3"/>
  <c r="T9" i="3" s="1"/>
  <c r="P9" i="3"/>
  <c r="I9" i="3"/>
  <c r="H9" i="3"/>
  <c r="D9" i="3"/>
  <c r="E9" i="3" s="1"/>
  <c r="C9" i="3"/>
  <c r="B9" i="3"/>
  <c r="Q9" i="3" s="1"/>
  <c r="R8" i="3"/>
  <c r="T8" i="3" s="1"/>
  <c r="P8" i="3"/>
  <c r="D8" i="3"/>
  <c r="E8" i="3" s="1"/>
  <c r="C8" i="3"/>
  <c r="S8" i="3" s="1"/>
  <c r="B8" i="3"/>
  <c r="F8" i="3" s="1"/>
  <c r="T7" i="3"/>
  <c r="R7" i="3"/>
  <c r="P7" i="3"/>
  <c r="I7" i="3"/>
  <c r="H7" i="3"/>
  <c r="D7" i="3"/>
  <c r="E7" i="3" s="1"/>
  <c r="C7" i="3"/>
  <c r="S7" i="3" s="1"/>
  <c r="B7" i="3"/>
  <c r="Q7" i="3" s="1"/>
  <c r="R6" i="3"/>
  <c r="T6" i="3" s="1"/>
  <c r="Q6" i="3"/>
  <c r="P6" i="3"/>
  <c r="D6" i="3"/>
  <c r="E6" i="3" s="1"/>
  <c r="C6" i="3"/>
  <c r="H6" i="3" s="1"/>
  <c r="B6" i="3"/>
  <c r="T5" i="3"/>
  <c r="S5" i="3"/>
  <c r="R5" i="3"/>
  <c r="Q5" i="3"/>
  <c r="P5" i="3"/>
  <c r="K5" i="3"/>
  <c r="J5" i="3"/>
  <c r="I5" i="3"/>
  <c r="H5" i="3"/>
  <c r="G5" i="3"/>
  <c r="F5" i="3"/>
  <c r="E5" i="3"/>
  <c r="D5" i="3"/>
  <c r="C5" i="3"/>
  <c r="B5" i="3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3" i="2"/>
  <c r="I33" i="2"/>
  <c r="H33" i="2"/>
  <c r="G33" i="2"/>
  <c r="F33" i="2"/>
  <c r="E33" i="2"/>
  <c r="D33" i="2"/>
  <c r="C33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M16" i="2"/>
  <c r="L16" i="2"/>
  <c r="K16" i="2"/>
  <c r="J16" i="2"/>
  <c r="I16" i="2"/>
  <c r="H16" i="2"/>
  <c r="G16" i="2"/>
  <c r="F16" i="2"/>
  <c r="D16" i="2"/>
  <c r="C16" i="2"/>
  <c r="E16" i="2" s="1"/>
  <c r="M15" i="2"/>
  <c r="L15" i="2"/>
  <c r="K15" i="2"/>
  <c r="J15" i="2"/>
  <c r="I15" i="2"/>
  <c r="H15" i="2"/>
  <c r="G15" i="2"/>
  <c r="F15" i="2"/>
  <c r="D15" i="2"/>
  <c r="C15" i="2"/>
  <c r="E15" i="2" s="1"/>
  <c r="M14" i="2"/>
  <c r="L14" i="2"/>
  <c r="K14" i="2"/>
  <c r="J14" i="2"/>
  <c r="I14" i="2"/>
  <c r="H14" i="2"/>
  <c r="G14" i="2"/>
  <c r="F14" i="2"/>
  <c r="D14" i="2"/>
  <c r="C14" i="2"/>
  <c r="E14" i="2" s="1"/>
  <c r="M13" i="2"/>
  <c r="L13" i="2"/>
  <c r="K13" i="2"/>
  <c r="J13" i="2"/>
  <c r="I13" i="2"/>
  <c r="H13" i="2"/>
  <c r="G13" i="2"/>
  <c r="F13" i="2"/>
  <c r="D13" i="2"/>
  <c r="C13" i="2"/>
  <c r="E13" i="2" s="1"/>
  <c r="M12" i="2"/>
  <c r="L12" i="2"/>
  <c r="K12" i="2"/>
  <c r="J12" i="2"/>
  <c r="I12" i="2"/>
  <c r="H12" i="2"/>
  <c r="G12" i="2"/>
  <c r="F12" i="2"/>
  <c r="D12" i="2"/>
  <c r="C12" i="2"/>
  <c r="E12" i="2" s="1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E10" i="2"/>
  <c r="D10" i="2"/>
  <c r="C10" i="2"/>
  <c r="M9" i="2"/>
  <c r="L9" i="2"/>
  <c r="K9" i="2"/>
  <c r="J9" i="2"/>
  <c r="I9" i="2"/>
  <c r="H9" i="2"/>
  <c r="G9" i="2"/>
  <c r="F9" i="2"/>
  <c r="D9" i="2"/>
  <c r="C9" i="2"/>
  <c r="E9" i="2" s="1"/>
  <c r="M8" i="2"/>
  <c r="L8" i="2"/>
  <c r="K8" i="2"/>
  <c r="J8" i="2"/>
  <c r="I8" i="2"/>
  <c r="H8" i="2"/>
  <c r="G8" i="2"/>
  <c r="F8" i="2"/>
  <c r="D8" i="2"/>
  <c r="C8" i="2"/>
  <c r="E8" i="2" s="1"/>
  <c r="M7" i="2"/>
  <c r="L7" i="2"/>
  <c r="K7" i="2"/>
  <c r="J7" i="2"/>
  <c r="I7" i="2"/>
  <c r="H7" i="2"/>
  <c r="G7" i="2"/>
  <c r="F7" i="2"/>
  <c r="D7" i="2"/>
  <c r="E7" i="2" s="1"/>
  <c r="C7" i="2"/>
  <c r="M6" i="2"/>
  <c r="L6" i="2"/>
  <c r="K6" i="2"/>
  <c r="J6" i="2"/>
  <c r="I6" i="2"/>
  <c r="H6" i="2"/>
  <c r="G6" i="2"/>
  <c r="F6" i="2"/>
  <c r="D6" i="2"/>
  <c r="C6" i="2"/>
  <c r="E6" i="2" s="1"/>
  <c r="M5" i="2"/>
  <c r="L5" i="2"/>
  <c r="K5" i="2"/>
  <c r="J5" i="2"/>
  <c r="I5" i="2"/>
  <c r="H5" i="2"/>
  <c r="G5" i="2"/>
  <c r="F5" i="2"/>
  <c r="E5" i="2"/>
  <c r="D5" i="2"/>
  <c r="C5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G10" i="3" l="1"/>
  <c r="J10" i="3" s="1"/>
  <c r="K10" i="3" s="1"/>
  <c r="F9" i="3"/>
  <c r="G9" i="3"/>
  <c r="J9" i="3" s="1"/>
  <c r="K9" i="3" s="1"/>
  <c r="G8" i="3"/>
  <c r="J8" i="3" s="1"/>
  <c r="K8" i="3" s="1"/>
  <c r="F11" i="3"/>
  <c r="G11" i="3" s="1"/>
  <c r="J11" i="3" s="1"/>
  <c r="K11" i="3" s="1"/>
  <c r="I6" i="3"/>
  <c r="Q10" i="3"/>
  <c r="F10" i="3"/>
  <c r="H10" i="3"/>
  <c r="F12" i="3"/>
  <c r="G12" i="3" s="1"/>
  <c r="J12" i="3" s="1"/>
  <c r="K12" i="3" s="1"/>
  <c r="H8" i="3"/>
  <c r="I8" i="3"/>
  <c r="Q12" i="3"/>
  <c r="F7" i="3"/>
  <c r="G7" i="3" s="1"/>
  <c r="J7" i="3" s="1"/>
  <c r="K7" i="3" s="1"/>
  <c r="F6" i="3"/>
  <c r="G6" i="3" s="1"/>
  <c r="J6" i="3" s="1"/>
  <c r="K6" i="3" s="1"/>
  <c r="S6" i="3"/>
  <c r="Q8" i="3"/>
  <c r="M7" i="3" l="1"/>
  <c r="M12" i="3"/>
  <c r="M11" i="3"/>
  <c r="M6" i="3"/>
  <c r="M9" i="3"/>
  <c r="M5" i="3" l="1"/>
  <c r="N10" i="3" s="1"/>
  <c r="O10" i="3" s="1"/>
  <c r="M10" i="3"/>
  <c r="N12" i="3"/>
  <c r="O12" i="3" s="1"/>
  <c r="N9" i="3"/>
  <c r="O9" i="3" s="1"/>
  <c r="M8" i="3"/>
  <c r="N6" i="3" s="1"/>
  <c r="O6" i="3" s="1"/>
  <c r="N7" i="3"/>
  <c r="O7" i="3" s="1"/>
  <c r="N8" i="3" l="1"/>
  <c r="O8" i="3" s="1"/>
  <c r="N11" i="3"/>
  <c r="O11" i="3" s="1"/>
  <c r="N5" i="3"/>
  <c r="O5" i="3" s="1"/>
</calcChain>
</file>

<file path=xl/sharedStrings.xml><?xml version="1.0" encoding="utf-8"?>
<sst xmlns="http://schemas.openxmlformats.org/spreadsheetml/2006/main" count="598" uniqueCount="75">
  <si>
    <t>Sample_ID</t>
  </si>
  <si>
    <t>Group</t>
  </si>
  <si>
    <t>Gene</t>
  </si>
  <si>
    <t>Target_Type</t>
  </si>
  <si>
    <t>Ct_Rep1</t>
  </si>
  <si>
    <t>Ct_Rep2</t>
  </si>
  <si>
    <t>Ct_Rep3</t>
  </si>
  <si>
    <t>Avg_Ct</t>
  </si>
  <si>
    <t>CTRL_1</t>
  </si>
  <si>
    <t>Control</t>
  </si>
  <si>
    <t>GAPDH</t>
  </si>
  <si>
    <t>Endogenous control</t>
  </si>
  <si>
    <t>ACTB</t>
  </si>
  <si>
    <t>IL6</t>
  </si>
  <si>
    <t>Target</t>
  </si>
  <si>
    <t>CXCL8</t>
  </si>
  <si>
    <t>TNF</t>
  </si>
  <si>
    <t>NFKB1</t>
  </si>
  <si>
    <t>STAT3</t>
  </si>
  <si>
    <t>MYC</t>
  </si>
  <si>
    <t>CDKN1A</t>
  </si>
  <si>
    <t>BAX</t>
  </si>
  <si>
    <t>CTRL_2</t>
  </si>
  <si>
    <t>CTRL_3</t>
  </si>
  <si>
    <t>CTRL_4</t>
  </si>
  <si>
    <t>CTRL_5</t>
  </si>
  <si>
    <t>CTRL_6</t>
  </si>
  <si>
    <t>TRT_1</t>
  </si>
  <si>
    <t>Treatment</t>
  </si>
  <si>
    <t>TRT_2</t>
  </si>
  <si>
    <t>TRT_3</t>
  </si>
  <si>
    <t>TRT_4</t>
  </si>
  <si>
    <t>TRT_5</t>
  </si>
  <si>
    <t>TRT_6</t>
  </si>
  <si>
    <t>qPCR Relative Expression Analysis — ΔΔCt Method</t>
  </si>
  <si>
    <t>Table 1: Average Ct per Sample (mean of technical triplicates) + Reference Ct</t>
  </si>
  <si>
    <t>GAPDH_Ct</t>
  </si>
  <si>
    <t>ACTB_Ct</t>
  </si>
  <si>
    <t>RefCt_GeoMean</t>
  </si>
  <si>
    <t>IL6_Ct</t>
  </si>
  <si>
    <t>CXCL8_Ct</t>
  </si>
  <si>
    <t>TNF_Ct</t>
  </si>
  <si>
    <t>NFKB1_Ct</t>
  </si>
  <si>
    <t>STAT3_Ct</t>
  </si>
  <si>
    <t>MYC_Ct</t>
  </si>
  <si>
    <t>CDKN1A_Ct</t>
  </si>
  <si>
    <t>BAX_Ct</t>
  </si>
  <si>
    <t>Table 2: ΔCt per Sample (ΔCt = Target_Ct − RefCt_GeoMean)</t>
  </si>
  <si>
    <t>Control Mean ΔCt (baseline)</t>
  </si>
  <si>
    <t>Table 3: Fold Change per Sample (2^-ΔΔCt, relative to Control mean)</t>
  </si>
  <si>
    <t>Table 4: Rank of ΔCt (combined n=12, for Mann-Whitney U; ties averaged)</t>
  </si>
  <si>
    <t>qPCR Statistical Analysis — Mann-Whitney U Test on ΔCt (Control vs Treatment)</t>
  </si>
  <si>
    <t>Normal approximation with continuity correction; Benjamini-Hochberg FDR correction across 8 genes. Fold change via ΔΔCt method.</t>
  </si>
  <si>
    <t>n_Control</t>
  </si>
  <si>
    <t>n_Treatment</t>
  </si>
  <si>
    <t>RankSum_Control (R1)</t>
  </si>
  <si>
    <t>U1</t>
  </si>
  <si>
    <t>U2</t>
  </si>
  <si>
    <t>U</t>
  </si>
  <si>
    <t>Mean_U</t>
  </si>
  <si>
    <t>SD_U</t>
  </si>
  <si>
    <t>z</t>
  </si>
  <si>
    <t>p_value</t>
  </si>
  <si>
    <t>BH_Rank</t>
  </si>
  <si>
    <t>BH_raw</t>
  </si>
  <si>
    <t>q_value (FDR)</t>
  </si>
  <si>
    <t>Sig.</t>
  </si>
  <si>
    <t>Mean_FC_Control</t>
  </si>
  <si>
    <t>SEM_FC_Control</t>
  </si>
  <si>
    <t>Mean_FC_Treatment</t>
  </si>
  <si>
    <t>SEM_FC_Treatment</t>
  </si>
  <si>
    <t>log2FC (Trt vs Ctrl)</t>
  </si>
  <si>
    <t>SEM_Control</t>
  </si>
  <si>
    <t>SEM_Treatment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</si>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</sst>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5608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0" fillId="0" borderId="0" xfId="0" applyNumberFormat="1"/>
    <xf numFmtId="164" fontId="0" fillId="0" borderId="0" xfId="0" applyNumberFormat="1"/>
    <xf numFmtId="0" fontId="6" fillId="0" borderId="0" xfId="0" applyFon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Relative mRNA Expression (qPCR </a:t>
            </a:r>
            <a:r>
              <a:rPr lang="el-GR"/>
              <a:t>ΔΔ</a:t>
            </a:r>
            <a:r>
              <a:rPr lang="en-US"/>
              <a:t>Ct Method)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Results!$W$4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8FAADC"/>
            </a:solidFill>
            <a:ln>
              <a:noFill/>
            </a:ln>
            <a:effectLst/>
          </c:spPr>
          <c:invertIfNegative val="0"/>
          <c:cat>
            <c:strRef>
              <c:f>Results!$V$5:$V$12</c:f>
              <c:strCache>
                <c:ptCount val="8"/>
                <c:pt idx="0">
                  <c:v>IL6</c:v>
                </c:pt>
                <c:pt idx="1">
                  <c:v>CXCL8</c:v>
                </c:pt>
                <c:pt idx="2">
                  <c:v>TNF</c:v>
                </c:pt>
                <c:pt idx="3">
                  <c:v>NFKB1</c:v>
                </c:pt>
                <c:pt idx="4">
                  <c:v>STAT3</c:v>
                </c:pt>
                <c:pt idx="5">
                  <c:v>MYC</c:v>
                </c:pt>
                <c:pt idx="6">
                  <c:v>CDKN1A</c:v>
                </c:pt>
                <c:pt idx="7">
                  <c:v>BAX</c:v>
                </c:pt>
              </c:strCache>
            </c:strRef>
          </c:cat>
          <c:val>
            <c:numRef>
              <c:f>Results!$W$5:$W$12</c:f>
              <c:numCache>
                <c:formatCode>General</c:formatCode>
                <c:ptCount val="8"/>
                <c:pt idx="0">
                  <c:v>1.0235814180205307</c:v>
                </c:pt>
                <c:pt idx="1">
                  <c:v>1.0106751561693392</c:v>
                </c:pt>
                <c:pt idx="2">
                  <c:v>1.0396373123645821</c:v>
                </c:pt>
                <c:pt idx="3">
                  <c:v>1.01328511465878</c:v>
                </c:pt>
                <c:pt idx="4">
                  <c:v>1.0038827470218206</c:v>
                </c:pt>
                <c:pt idx="5">
                  <c:v>1.0337344673909548</c:v>
                </c:pt>
                <c:pt idx="6">
                  <c:v>1.0080072958543396</c:v>
                </c:pt>
                <c:pt idx="7">
                  <c:v>1.0190977861834865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D-4D25-A27A-6B2AD897D50A}"/>
            </c:ext>
          </c:extLst>
        </c:ser>
        <c:ser>
          <c:idx val="1"/>
          <c:order val="1"/>
          <c:tx>
            <c:strRef>
              <c:f>Results!$X$4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F3D-4D25-A27A-6B2AD897D5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3D-4D25-A27A-6B2AD897D5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3D-4D25-A27A-6B2AD897D5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ns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3D-4D25-A27A-6B2AD897D50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3D-4D25-A27A-6B2AD897D50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3D-4D25-A27A-6B2AD897D5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3D-4D25-A27A-6B2AD897D50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**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F3D-4D25-A27A-6B2AD897D5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Results!$V$5:$V$12</c:f>
              <c:strCache>
                <c:ptCount val="8"/>
                <c:pt idx="0">
                  <c:v>IL6</c:v>
                </c:pt>
                <c:pt idx="1">
                  <c:v>CXCL8</c:v>
                </c:pt>
                <c:pt idx="2">
                  <c:v>TNF</c:v>
                </c:pt>
                <c:pt idx="3">
                  <c:v>NFKB1</c:v>
                </c:pt>
                <c:pt idx="4">
                  <c:v>STAT3</c:v>
                </c:pt>
                <c:pt idx="5">
                  <c:v>MYC</c:v>
                </c:pt>
                <c:pt idx="6">
                  <c:v>CDKN1A</c:v>
                </c:pt>
                <c:pt idx="7">
                  <c:v>BAX</c:v>
                </c:pt>
              </c:strCache>
            </c:strRef>
          </c:cat>
          <c:val>
            <c:numRef>
              <c:f>Results!$X$5:$X$12</c:f>
              <c:numCache>
                <c:formatCode>General</c:formatCode>
                <c:ptCount val="8"/>
                <c:pt idx="0">
                  <c:v>8.9235025604629641</c:v>
                </c:pt>
                <c:pt idx="1">
                  <c:v>4.4012040172553455</c:v>
                </c:pt>
                <c:pt idx="2">
                  <c:v>2.4273116379681388</c:v>
                </c:pt>
                <c:pt idx="3">
                  <c:v>1.4428677700929455</c:v>
                </c:pt>
                <c:pt idx="4">
                  <c:v>1.7326469876692168</c:v>
                </c:pt>
                <c:pt idx="5">
                  <c:v>2.1156681249497598</c:v>
                </c:pt>
                <c:pt idx="6">
                  <c:v>0.31122485234653224</c:v>
                </c:pt>
                <c:pt idx="7">
                  <c:v>0.49585941185152071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D-4D25-A27A-6B2AD897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986799"/>
        <c:axId val="1159468815"/>
      </c:barChart>
      <c:catAx>
        <c:axId val="127798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SG"/>
                  <a:t>Gene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468815"/>
        <c:crosses val="autoZero"/>
        <c:auto val="1"/>
        <c:lblAlgn val="ctr"/>
        <c:lblOffset val="100"/>
        <c:noMultiLvlLbl val="0"/>
      </c:catAx>
      <c:valAx>
        <c:axId val="1159468815"/>
        <c:scaling>
          <c:logBase val="2"/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SG"/>
                  <a:t>Fold Change vs Control (log₂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98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log₂(Fold Change) — Treatment vs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Results!$AC$4</c:f>
              <c:strCache>
                <c:ptCount val="1"/>
                <c:pt idx="0">
                  <c:v>log2FC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6-4E2D-8D96-ADA4E3517F2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F6-4E2D-8D96-ADA4E3517F2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6-4E2D-8D96-ADA4E3517F26}"/>
              </c:ext>
            </c:extLst>
          </c:dPt>
          <c:dPt>
            <c:idx val="3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F6-4E2D-8D96-ADA4E3517F26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6-4E2D-8D96-ADA4E3517F26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F6-4E2D-8D96-ADA4E3517F26}"/>
              </c:ext>
            </c:extLst>
          </c:dPt>
          <c:dPt>
            <c:idx val="6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6-4E2D-8D96-ADA4E3517F26}"/>
              </c:ext>
            </c:extLst>
          </c:dPt>
          <c:dPt>
            <c:idx val="7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7F6-4E2D-8D96-ADA4E3517F26}"/>
              </c:ext>
            </c:extLst>
          </c:dPt>
          <c:cat>
            <c:strRef>
              <c:f>Results!$AB$5:$AB$12</c:f>
              <c:strCache>
                <c:ptCount val="8"/>
                <c:pt idx="0">
                  <c:v>IL6</c:v>
                </c:pt>
                <c:pt idx="1">
                  <c:v>CXCL8</c:v>
                </c:pt>
                <c:pt idx="2">
                  <c:v>TNF</c:v>
                </c:pt>
                <c:pt idx="3">
                  <c:v>NFKB1</c:v>
                </c:pt>
                <c:pt idx="4">
                  <c:v>STAT3</c:v>
                </c:pt>
                <c:pt idx="5">
                  <c:v>MYC</c:v>
                </c:pt>
                <c:pt idx="6">
                  <c:v>CDKN1A</c:v>
                </c:pt>
                <c:pt idx="7">
                  <c:v>BAX</c:v>
                </c:pt>
              </c:strCache>
            </c:strRef>
          </c:cat>
          <c:val>
            <c:numRef>
              <c:f>Results!$AC$5:$AC$12</c:f>
              <c:numCache>
                <c:formatCode>General</c:formatCode>
                <c:ptCount val="8"/>
                <c:pt idx="0">
                  <c:v>3.1239842307607768</c:v>
                </c:pt>
                <c:pt idx="1">
                  <c:v>2.1225788779922365</c:v>
                </c:pt>
                <c:pt idx="2">
                  <c:v>1.2232790274050116</c:v>
                </c:pt>
                <c:pt idx="3">
                  <c:v>0.50989892001099424</c:v>
                </c:pt>
                <c:pt idx="4">
                  <c:v>0.78738697428591553</c:v>
                </c:pt>
                <c:pt idx="5">
                  <c:v>1.0332476842959977</c:v>
                </c:pt>
                <c:pt idx="6">
                  <c:v>-1.6954769068893858</c:v>
                </c:pt>
                <c:pt idx="7">
                  <c:v>-1.0392894453178787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6-4E2D-8D96-ADA4E3517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7998863"/>
        <c:axId val="1159575375"/>
      </c:barChart>
      <c:catAx>
        <c:axId val="1277998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Gene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75375"/>
        <c:crosses val="autoZero"/>
        <c:auto val="1"/>
        <c:lblAlgn val="ctr"/>
        <c:lblOffset val="100"/>
        <c:noMultiLvlLbl val="0"/>
      </c:catAx>
      <c:valAx>
        <c:axId val="115957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log₂(Fold Change)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9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14</xdr:row>
      <xdr:rowOff>0</xdr:rowOff>
    </xdr:from>
    <xdr:to>
      <xdr:col>34</xdr:col>
      <xdr:colOff>0</xdr:colOff>
      <xdr:row>42</xdr:row>
      <xdr:rowOff>0</xdr:rowOff>
    </xdr:to>
    <xdr:graphicFrame macro="">
      <xdr:nvGraphicFramePr>
        <xdr:cNvPr id="2" name="FoldChangeChart">
          <a:extLst>
            <a:ext uri="{FF2B5EF4-FFF2-40B4-BE49-F238E27FC236}">
              <a16:creationId xmlns:a16="http://schemas.microsoft.com/office/drawing/2014/main" id="{6BCF767D-59E8-3C0C-155E-460C124C5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43</xdr:row>
      <xdr:rowOff>0</xdr:rowOff>
    </xdr:from>
    <xdr:to>
      <xdr:col>34</xdr:col>
      <xdr:colOff>0</xdr:colOff>
      <xdr:row>68</xdr:row>
      <xdr:rowOff>0</xdr:rowOff>
    </xdr:to>
    <xdr:graphicFrame macro="">
      <xdr:nvGraphicFramePr>
        <xdr:cNvPr id="3" name="Log2FCChart">
          <a:extLst>
            <a:ext uri="{FF2B5EF4-FFF2-40B4-BE49-F238E27FC236}">
              <a16:creationId xmlns:a16="http://schemas.microsoft.com/office/drawing/2014/main" id="{88ACF831-893A-802B-9039-91E213992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57C38-AD91-4E77-AC67-2810DD1F5040}" name="qPCRRawTable" displayName="qPCRRawTable" ref="A1:H121" totalsRowShown="0">
  <tableColumns count="8">
    <tableColumn id="1" xr3:uid="{04D73DFE-0633-415A-B488-5ACE12A38942}" name="Sample_ID"/>
    <tableColumn id="2" xr3:uid="{51203E1B-779C-42E8-9DB7-3CD1D7D8F0E2}" name="Group"/>
    <tableColumn id="3" xr3:uid="{010A9B0B-D2B2-4F09-82C6-0BA16E7BDD55}" name="Gene"/>
    <tableColumn id="4" xr3:uid="{F7DE91BD-A26C-4F1F-BFD9-580C836D0032}" name="Target_Type"/>
    <tableColumn id="5" xr3:uid="{71CCDFB4-CA87-4D85-9A5B-55E821ED0EE5}" name="Ct_Rep1"/>
    <tableColumn id="6" xr3:uid="{6EECFFC2-FB77-4BE4-A1C0-A1C2BC54AFD7}" name="Ct_Rep2"/>
    <tableColumn id="7" xr3:uid="{5BF7605C-9B13-4A72-BC97-524B400BA460}" name="Ct_Rep3"/>
    <tableColumn id="8" xr3:uid="{58821023-8A29-4401-B4CA-E8F6362D2464}" name="Avg_Ct" dataDxfId="0">
      <calculatedColumnFormula>AVERAGE(E2:G2)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9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810397-68DD-44F1-B2FD-84F16598D61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f14bfc8-8ef0-4f64-a3a0-43f848580cd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C65-7024-4B68-B60E-491BC0A265E1}">
  <dimension ref="A1:H121"/>
  <sheetViews>
    <sheetView workbookViewId="0">
      <selection activeCell="K10" sqref="A1:XFD1048576"/>
    </sheetView>
  </sheetViews>
  <sheetFormatPr defaultRowHeight="15"/>
  <cols>
    <col min="1" max="1" width="15.28515625" customWidth="1"/>
    <col min="2" max="2" width="14.140625" customWidth="1"/>
    <col min="3" max="3" width="13.140625" customWidth="1"/>
    <col min="4" max="4" width="21.85546875" customWidth="1"/>
    <col min="5" max="7" width="13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19.12</v>
      </c>
      <c r="F2" s="3">
        <v>19.21</v>
      </c>
      <c r="G2" s="3">
        <v>19.11</v>
      </c>
      <c r="H2">
        <f t="shared" ref="H2:H33" si="0">AVERAGE(E2:G2)</f>
        <v>19.146666666666665</v>
      </c>
    </row>
    <row r="3" spans="1:8">
      <c r="A3" s="2" t="s">
        <v>8</v>
      </c>
      <c r="B3" s="2" t="s">
        <v>9</v>
      </c>
      <c r="C3" s="2" t="s">
        <v>12</v>
      </c>
      <c r="D3" s="2" t="s">
        <v>11</v>
      </c>
      <c r="E3" s="3">
        <v>19.829999999999998</v>
      </c>
      <c r="F3" s="3">
        <v>19.760000000000002</v>
      </c>
      <c r="G3" s="3">
        <v>19.760000000000002</v>
      </c>
      <c r="H3">
        <f t="shared" si="0"/>
        <v>19.783333333333335</v>
      </c>
    </row>
    <row r="4" spans="1:8">
      <c r="A4" s="2" t="s">
        <v>8</v>
      </c>
      <c r="B4" s="2" t="s">
        <v>9</v>
      </c>
      <c r="C4" s="2" t="s">
        <v>13</v>
      </c>
      <c r="D4" s="2" t="s">
        <v>14</v>
      </c>
      <c r="E4" s="3">
        <v>28.22</v>
      </c>
      <c r="F4" s="3">
        <v>28.34</v>
      </c>
      <c r="G4" s="3">
        <v>28.28</v>
      </c>
      <c r="H4">
        <f t="shared" si="0"/>
        <v>28.28</v>
      </c>
    </row>
    <row r="5" spans="1:8">
      <c r="A5" s="2" t="s">
        <v>8</v>
      </c>
      <c r="B5" s="2" t="s">
        <v>9</v>
      </c>
      <c r="C5" s="2" t="s">
        <v>15</v>
      </c>
      <c r="D5" s="2" t="s">
        <v>14</v>
      </c>
      <c r="E5" s="3">
        <v>27.41</v>
      </c>
      <c r="F5" s="3">
        <v>27.37</v>
      </c>
      <c r="G5" s="3">
        <v>27.52</v>
      </c>
      <c r="H5">
        <f t="shared" si="0"/>
        <v>27.433333333333334</v>
      </c>
    </row>
    <row r="6" spans="1:8">
      <c r="A6" s="2" t="s">
        <v>8</v>
      </c>
      <c r="B6" s="2" t="s">
        <v>9</v>
      </c>
      <c r="C6" s="2" t="s">
        <v>16</v>
      </c>
      <c r="D6" s="2" t="s">
        <v>14</v>
      </c>
      <c r="E6" s="3">
        <v>29.38</v>
      </c>
      <c r="F6" s="3">
        <v>29.37</v>
      </c>
      <c r="G6" s="3">
        <v>29.44</v>
      </c>
      <c r="H6">
        <f t="shared" si="0"/>
        <v>29.396666666666665</v>
      </c>
    </row>
    <row r="7" spans="1:8">
      <c r="A7" s="2" t="s">
        <v>8</v>
      </c>
      <c r="B7" s="2" t="s">
        <v>9</v>
      </c>
      <c r="C7" s="2" t="s">
        <v>17</v>
      </c>
      <c r="D7" s="2" t="s">
        <v>14</v>
      </c>
      <c r="E7" s="3">
        <v>23.96</v>
      </c>
      <c r="F7" s="3">
        <v>24.05</v>
      </c>
      <c r="G7" s="3">
        <v>24.1</v>
      </c>
      <c r="H7">
        <f t="shared" si="0"/>
        <v>24.036666666666672</v>
      </c>
    </row>
    <row r="8" spans="1:8">
      <c r="A8" s="2" t="s">
        <v>8</v>
      </c>
      <c r="B8" s="2" t="s">
        <v>9</v>
      </c>
      <c r="C8" s="2" t="s">
        <v>18</v>
      </c>
      <c r="D8" s="2" t="s">
        <v>14</v>
      </c>
      <c r="E8" s="3">
        <v>23.73</v>
      </c>
      <c r="F8" s="3">
        <v>23.71</v>
      </c>
      <c r="G8" s="3">
        <v>23.78</v>
      </c>
      <c r="H8">
        <f t="shared" si="0"/>
        <v>23.74</v>
      </c>
    </row>
    <row r="9" spans="1:8">
      <c r="A9" s="2" t="s">
        <v>8</v>
      </c>
      <c r="B9" s="2" t="s">
        <v>9</v>
      </c>
      <c r="C9" s="2" t="s">
        <v>19</v>
      </c>
      <c r="D9" s="2" t="s">
        <v>14</v>
      </c>
      <c r="E9" s="3">
        <v>24.87</v>
      </c>
      <c r="F9" s="3">
        <v>24.62</v>
      </c>
      <c r="G9" s="3">
        <v>24.49</v>
      </c>
      <c r="H9">
        <f t="shared" si="0"/>
        <v>24.66</v>
      </c>
    </row>
    <row r="10" spans="1:8">
      <c r="A10" s="2" t="s">
        <v>8</v>
      </c>
      <c r="B10" s="2" t="s">
        <v>9</v>
      </c>
      <c r="C10" s="2" t="s">
        <v>20</v>
      </c>
      <c r="D10" s="2" t="s">
        <v>14</v>
      </c>
      <c r="E10" s="3">
        <v>25.76</v>
      </c>
      <c r="F10" s="3">
        <v>25.97</v>
      </c>
      <c r="G10" s="3">
        <v>25.95</v>
      </c>
      <c r="H10">
        <f t="shared" si="0"/>
        <v>25.893333333333334</v>
      </c>
    </row>
    <row r="11" spans="1:8">
      <c r="A11" s="2" t="s">
        <v>8</v>
      </c>
      <c r="B11" s="2" t="s">
        <v>9</v>
      </c>
      <c r="C11" s="2" t="s">
        <v>21</v>
      </c>
      <c r="D11" s="2" t="s">
        <v>14</v>
      </c>
      <c r="E11" s="3">
        <v>26.67</v>
      </c>
      <c r="F11" s="3">
        <v>26.45</v>
      </c>
      <c r="G11" s="3">
        <v>26.56</v>
      </c>
      <c r="H11">
        <f t="shared" si="0"/>
        <v>26.560000000000002</v>
      </c>
    </row>
    <row r="12" spans="1:8">
      <c r="A12" s="2" t="s">
        <v>22</v>
      </c>
      <c r="B12" s="2" t="s">
        <v>9</v>
      </c>
      <c r="C12" s="2" t="s">
        <v>10</v>
      </c>
      <c r="D12" s="2" t="s">
        <v>11</v>
      </c>
      <c r="E12" s="3">
        <v>19.239999999999998</v>
      </c>
      <c r="F12" s="3">
        <v>19.21</v>
      </c>
      <c r="G12" s="3">
        <v>19.18</v>
      </c>
      <c r="H12">
        <f t="shared" si="0"/>
        <v>19.21</v>
      </c>
    </row>
    <row r="13" spans="1:8">
      <c r="A13" s="2" t="s">
        <v>22</v>
      </c>
      <c r="B13" s="2" t="s">
        <v>9</v>
      </c>
      <c r="C13" s="2" t="s">
        <v>12</v>
      </c>
      <c r="D13" s="2" t="s">
        <v>11</v>
      </c>
      <c r="E13" s="3">
        <v>20.190000000000001</v>
      </c>
      <c r="F13" s="3">
        <v>20.059999999999999</v>
      </c>
      <c r="G13" s="3">
        <v>20.05</v>
      </c>
      <c r="H13">
        <f t="shared" si="0"/>
        <v>20.099999999999998</v>
      </c>
    </row>
    <row r="14" spans="1:8">
      <c r="A14" s="2" t="s">
        <v>22</v>
      </c>
      <c r="B14" s="2" t="s">
        <v>9</v>
      </c>
      <c r="C14" s="2" t="s">
        <v>13</v>
      </c>
      <c r="D14" s="2" t="s">
        <v>14</v>
      </c>
      <c r="E14" s="3">
        <v>28.03</v>
      </c>
      <c r="F14" s="3">
        <v>27.94</v>
      </c>
      <c r="G14" s="3">
        <v>28.25</v>
      </c>
      <c r="H14">
        <f t="shared" si="0"/>
        <v>28.073333333333334</v>
      </c>
    </row>
    <row r="15" spans="1:8">
      <c r="A15" s="2" t="s">
        <v>22</v>
      </c>
      <c r="B15" s="2" t="s">
        <v>9</v>
      </c>
      <c r="C15" s="2" t="s">
        <v>15</v>
      </c>
      <c r="D15" s="2" t="s">
        <v>14</v>
      </c>
      <c r="E15" s="3">
        <v>27.02</v>
      </c>
      <c r="F15" s="3">
        <v>27.25</v>
      </c>
      <c r="G15" s="3">
        <v>27.33</v>
      </c>
      <c r="H15">
        <f t="shared" si="0"/>
        <v>27.2</v>
      </c>
    </row>
    <row r="16" spans="1:8">
      <c r="A16" s="2" t="s">
        <v>22</v>
      </c>
      <c r="B16" s="2" t="s">
        <v>9</v>
      </c>
      <c r="C16" s="2" t="s">
        <v>16</v>
      </c>
      <c r="D16" s="2" t="s">
        <v>14</v>
      </c>
      <c r="E16" s="3">
        <v>29.18</v>
      </c>
      <c r="F16" s="3">
        <v>29.25</v>
      </c>
      <c r="G16" s="3">
        <v>29.07</v>
      </c>
      <c r="H16">
        <f t="shared" si="0"/>
        <v>29.166666666666668</v>
      </c>
    </row>
    <row r="17" spans="1:8">
      <c r="A17" s="2" t="s">
        <v>22</v>
      </c>
      <c r="B17" s="2" t="s">
        <v>9</v>
      </c>
      <c r="C17" s="2" t="s">
        <v>17</v>
      </c>
      <c r="D17" s="2" t="s">
        <v>14</v>
      </c>
      <c r="E17" s="3">
        <v>23.9</v>
      </c>
      <c r="F17" s="3">
        <v>24.08</v>
      </c>
      <c r="G17" s="3">
        <v>23.79</v>
      </c>
      <c r="H17">
        <f t="shared" si="0"/>
        <v>23.923333333333332</v>
      </c>
    </row>
    <row r="18" spans="1:8">
      <c r="A18" s="2" t="s">
        <v>22</v>
      </c>
      <c r="B18" s="2" t="s">
        <v>9</v>
      </c>
      <c r="C18" s="2" t="s">
        <v>18</v>
      </c>
      <c r="D18" s="2" t="s">
        <v>14</v>
      </c>
      <c r="E18" s="3">
        <v>23.76</v>
      </c>
      <c r="F18" s="3">
        <v>23.69</v>
      </c>
      <c r="G18" s="3">
        <v>23.82</v>
      </c>
      <c r="H18">
        <f t="shared" si="0"/>
        <v>23.756666666666671</v>
      </c>
    </row>
    <row r="19" spans="1:8">
      <c r="A19" s="2" t="s">
        <v>22</v>
      </c>
      <c r="B19" s="2" t="s">
        <v>9</v>
      </c>
      <c r="C19" s="2" t="s">
        <v>19</v>
      </c>
      <c r="D19" s="2" t="s">
        <v>14</v>
      </c>
      <c r="E19" s="3">
        <v>25.58</v>
      </c>
      <c r="F19" s="3">
        <v>25.38</v>
      </c>
      <c r="G19" s="3">
        <v>25.23</v>
      </c>
      <c r="H19">
        <f t="shared" si="0"/>
        <v>25.396666666666665</v>
      </c>
    </row>
    <row r="20" spans="1:8">
      <c r="A20" s="2" t="s">
        <v>22</v>
      </c>
      <c r="B20" s="2" t="s">
        <v>9</v>
      </c>
      <c r="C20" s="2" t="s">
        <v>20</v>
      </c>
      <c r="D20" s="2" t="s">
        <v>14</v>
      </c>
      <c r="E20" s="3">
        <v>25.74</v>
      </c>
      <c r="F20" s="3">
        <v>25.95</v>
      </c>
      <c r="G20" s="3">
        <v>25.77</v>
      </c>
      <c r="H20">
        <f t="shared" si="0"/>
        <v>25.819999999999997</v>
      </c>
    </row>
    <row r="21" spans="1:8">
      <c r="A21" s="2" t="s">
        <v>22</v>
      </c>
      <c r="B21" s="2" t="s">
        <v>9</v>
      </c>
      <c r="C21" s="2" t="s">
        <v>21</v>
      </c>
      <c r="D21" s="2" t="s">
        <v>14</v>
      </c>
      <c r="E21" s="3">
        <v>26.99</v>
      </c>
      <c r="F21" s="3">
        <v>26.81</v>
      </c>
      <c r="G21" s="3">
        <v>26.86</v>
      </c>
      <c r="H21">
        <f t="shared" si="0"/>
        <v>26.886666666666667</v>
      </c>
    </row>
    <row r="22" spans="1:8">
      <c r="A22" s="2" t="s">
        <v>23</v>
      </c>
      <c r="B22" s="2" t="s">
        <v>9</v>
      </c>
      <c r="C22" s="2" t="s">
        <v>10</v>
      </c>
      <c r="D22" s="2" t="s">
        <v>11</v>
      </c>
      <c r="E22" s="3">
        <v>18.420000000000002</v>
      </c>
      <c r="F22" s="3">
        <v>18.54</v>
      </c>
      <c r="G22" s="3">
        <v>18.63</v>
      </c>
      <c r="H22">
        <f t="shared" si="0"/>
        <v>18.53</v>
      </c>
    </row>
    <row r="23" spans="1:8">
      <c r="A23" s="2" t="s">
        <v>23</v>
      </c>
      <c r="B23" s="2" t="s">
        <v>9</v>
      </c>
      <c r="C23" s="2" t="s">
        <v>12</v>
      </c>
      <c r="D23" s="2" t="s">
        <v>11</v>
      </c>
      <c r="E23" s="3">
        <v>19.61</v>
      </c>
      <c r="F23" s="3">
        <v>19.600000000000001</v>
      </c>
      <c r="G23" s="3">
        <v>19.71</v>
      </c>
      <c r="H23">
        <f t="shared" si="0"/>
        <v>19.64</v>
      </c>
    </row>
    <row r="24" spans="1:8">
      <c r="A24" s="2" t="s">
        <v>23</v>
      </c>
      <c r="B24" s="2" t="s">
        <v>9</v>
      </c>
      <c r="C24" s="2" t="s">
        <v>13</v>
      </c>
      <c r="D24" s="2" t="s">
        <v>14</v>
      </c>
      <c r="E24" s="3">
        <v>28</v>
      </c>
      <c r="F24" s="3">
        <v>27.85</v>
      </c>
      <c r="G24" s="3">
        <v>28.08</v>
      </c>
      <c r="H24">
        <f t="shared" si="0"/>
        <v>27.97666666666667</v>
      </c>
    </row>
    <row r="25" spans="1:8">
      <c r="A25" s="2" t="s">
        <v>23</v>
      </c>
      <c r="B25" s="2" t="s">
        <v>9</v>
      </c>
      <c r="C25" s="2" t="s">
        <v>15</v>
      </c>
      <c r="D25" s="2" t="s">
        <v>14</v>
      </c>
      <c r="E25" s="3">
        <v>27.25</v>
      </c>
      <c r="F25" s="3">
        <v>27.1</v>
      </c>
      <c r="G25" s="3">
        <v>27.34</v>
      </c>
      <c r="H25">
        <f t="shared" si="0"/>
        <v>27.23</v>
      </c>
    </row>
    <row r="26" spans="1:8">
      <c r="A26" s="2" t="s">
        <v>23</v>
      </c>
      <c r="B26" s="2" t="s">
        <v>9</v>
      </c>
      <c r="C26" s="2" t="s">
        <v>16</v>
      </c>
      <c r="D26" s="2" t="s">
        <v>14</v>
      </c>
      <c r="E26" s="3">
        <v>28.56</v>
      </c>
      <c r="F26" s="3">
        <v>28.38</v>
      </c>
      <c r="G26" s="3">
        <v>28.31</v>
      </c>
      <c r="H26">
        <f t="shared" si="0"/>
        <v>28.416666666666668</v>
      </c>
    </row>
    <row r="27" spans="1:8">
      <c r="A27" s="2" t="s">
        <v>23</v>
      </c>
      <c r="B27" s="2" t="s">
        <v>9</v>
      </c>
      <c r="C27" s="2" t="s">
        <v>17</v>
      </c>
      <c r="D27" s="2" t="s">
        <v>14</v>
      </c>
      <c r="E27" s="3">
        <v>23.61</v>
      </c>
      <c r="F27" s="3">
        <v>23.79</v>
      </c>
      <c r="G27" s="3">
        <v>23.72</v>
      </c>
      <c r="H27">
        <f t="shared" si="0"/>
        <v>23.706666666666667</v>
      </c>
    </row>
    <row r="28" spans="1:8">
      <c r="A28" s="2" t="s">
        <v>23</v>
      </c>
      <c r="B28" s="2" t="s">
        <v>9</v>
      </c>
      <c r="C28" s="2" t="s">
        <v>18</v>
      </c>
      <c r="D28" s="2" t="s">
        <v>14</v>
      </c>
      <c r="E28" s="3">
        <v>23.22</v>
      </c>
      <c r="F28" s="3">
        <v>23.59</v>
      </c>
      <c r="G28" s="3">
        <v>23.57</v>
      </c>
      <c r="H28">
        <f t="shared" si="0"/>
        <v>23.459999999999997</v>
      </c>
    </row>
    <row r="29" spans="1:8">
      <c r="A29" s="2" t="s">
        <v>23</v>
      </c>
      <c r="B29" s="2" t="s">
        <v>9</v>
      </c>
      <c r="C29" s="2" t="s">
        <v>19</v>
      </c>
      <c r="D29" s="2" t="s">
        <v>14</v>
      </c>
      <c r="E29" s="3">
        <v>24.43</v>
      </c>
      <c r="F29" s="3">
        <v>24.51</v>
      </c>
      <c r="G29" s="3">
        <v>24.72</v>
      </c>
      <c r="H29">
        <f t="shared" si="0"/>
        <v>24.553333333333331</v>
      </c>
    </row>
    <row r="30" spans="1:8">
      <c r="A30" s="2" t="s">
        <v>23</v>
      </c>
      <c r="B30" s="2" t="s">
        <v>9</v>
      </c>
      <c r="C30" s="2" t="s">
        <v>20</v>
      </c>
      <c r="D30" s="2" t="s">
        <v>14</v>
      </c>
      <c r="E30" s="3">
        <v>25.2</v>
      </c>
      <c r="F30" s="3">
        <v>25.41</v>
      </c>
      <c r="G30" s="3">
        <v>25.19</v>
      </c>
      <c r="H30">
        <f t="shared" si="0"/>
        <v>25.266666666666666</v>
      </c>
    </row>
    <row r="31" spans="1:8">
      <c r="A31" s="2" t="s">
        <v>23</v>
      </c>
      <c r="B31" s="2" t="s">
        <v>9</v>
      </c>
      <c r="C31" s="2" t="s">
        <v>21</v>
      </c>
      <c r="D31" s="2" t="s">
        <v>14</v>
      </c>
      <c r="E31" s="3">
        <v>26.38</v>
      </c>
      <c r="F31" s="3">
        <v>26.22</v>
      </c>
      <c r="G31" s="3">
        <v>26.39</v>
      </c>
      <c r="H31">
        <f t="shared" si="0"/>
        <v>26.33</v>
      </c>
    </row>
    <row r="32" spans="1:8">
      <c r="A32" s="2" t="s">
        <v>24</v>
      </c>
      <c r="B32" s="2" t="s">
        <v>9</v>
      </c>
      <c r="C32" s="2" t="s">
        <v>10</v>
      </c>
      <c r="D32" s="2" t="s">
        <v>11</v>
      </c>
      <c r="E32" s="3">
        <v>19.02</v>
      </c>
      <c r="F32" s="3">
        <v>19.29</v>
      </c>
      <c r="G32" s="3">
        <v>19.05</v>
      </c>
      <c r="H32">
        <f t="shared" si="0"/>
        <v>19.12</v>
      </c>
    </row>
    <row r="33" spans="1:8">
      <c r="A33" s="2" t="s">
        <v>24</v>
      </c>
      <c r="B33" s="2" t="s">
        <v>9</v>
      </c>
      <c r="C33" s="2" t="s">
        <v>12</v>
      </c>
      <c r="D33" s="2" t="s">
        <v>11</v>
      </c>
      <c r="E33" s="3">
        <v>19.850000000000001</v>
      </c>
      <c r="F33" s="3">
        <v>19.989999999999998</v>
      </c>
      <c r="G33" s="3">
        <v>20.05</v>
      </c>
      <c r="H33">
        <f t="shared" si="0"/>
        <v>19.963333333333335</v>
      </c>
    </row>
    <row r="34" spans="1:8">
      <c r="A34" s="2" t="s">
        <v>24</v>
      </c>
      <c r="B34" s="2" t="s">
        <v>9</v>
      </c>
      <c r="C34" s="2" t="s">
        <v>13</v>
      </c>
      <c r="D34" s="2" t="s">
        <v>14</v>
      </c>
      <c r="E34" s="3">
        <v>28.22</v>
      </c>
      <c r="F34" s="3">
        <v>28.54</v>
      </c>
      <c r="G34" s="3">
        <v>28.49</v>
      </c>
      <c r="H34">
        <f t="shared" ref="H34:H65" si="1">AVERAGE(E34:G34)</f>
        <v>28.416666666666668</v>
      </c>
    </row>
    <row r="35" spans="1:8">
      <c r="A35" s="2" t="s">
        <v>24</v>
      </c>
      <c r="B35" s="2" t="s">
        <v>9</v>
      </c>
      <c r="C35" s="2" t="s">
        <v>15</v>
      </c>
      <c r="D35" s="2" t="s">
        <v>14</v>
      </c>
      <c r="E35" s="3">
        <v>27.74</v>
      </c>
      <c r="F35" s="3">
        <v>27.66</v>
      </c>
      <c r="G35" s="3">
        <v>27.59</v>
      </c>
      <c r="H35">
        <f t="shared" si="1"/>
        <v>27.66333333333333</v>
      </c>
    </row>
    <row r="36" spans="1:8">
      <c r="A36" s="2" t="s">
        <v>24</v>
      </c>
      <c r="B36" s="2" t="s">
        <v>9</v>
      </c>
      <c r="C36" s="2" t="s">
        <v>16</v>
      </c>
      <c r="D36" s="2" t="s">
        <v>14</v>
      </c>
      <c r="E36" s="3">
        <v>28.29</v>
      </c>
      <c r="F36" s="3">
        <v>28.24</v>
      </c>
      <c r="G36" s="3">
        <v>28.5</v>
      </c>
      <c r="H36">
        <f t="shared" si="1"/>
        <v>28.343333333333334</v>
      </c>
    </row>
    <row r="37" spans="1:8">
      <c r="A37" s="2" t="s">
        <v>24</v>
      </c>
      <c r="B37" s="2" t="s">
        <v>9</v>
      </c>
      <c r="C37" s="2" t="s">
        <v>17</v>
      </c>
      <c r="D37" s="2" t="s">
        <v>14</v>
      </c>
      <c r="E37" s="3">
        <v>24</v>
      </c>
      <c r="F37" s="3">
        <v>23.78</v>
      </c>
      <c r="G37" s="3">
        <v>23.92</v>
      </c>
      <c r="H37">
        <f t="shared" si="1"/>
        <v>23.900000000000002</v>
      </c>
    </row>
    <row r="38" spans="1:8">
      <c r="A38" s="2" t="s">
        <v>24</v>
      </c>
      <c r="B38" s="2" t="s">
        <v>9</v>
      </c>
      <c r="C38" s="2" t="s">
        <v>18</v>
      </c>
      <c r="D38" s="2" t="s">
        <v>14</v>
      </c>
      <c r="E38" s="3">
        <v>23.64</v>
      </c>
      <c r="F38" s="3">
        <v>23.72</v>
      </c>
      <c r="G38" s="3">
        <v>23.54</v>
      </c>
      <c r="H38">
        <f t="shared" si="1"/>
        <v>23.633333333333336</v>
      </c>
    </row>
    <row r="39" spans="1:8">
      <c r="A39" s="2" t="s">
        <v>24</v>
      </c>
      <c r="B39" s="2" t="s">
        <v>9</v>
      </c>
      <c r="C39" s="2" t="s">
        <v>19</v>
      </c>
      <c r="D39" s="2" t="s">
        <v>14</v>
      </c>
      <c r="E39" s="3">
        <v>24.56</v>
      </c>
      <c r="F39" s="3">
        <v>24.57</v>
      </c>
      <c r="G39" s="3">
        <v>24.56</v>
      </c>
      <c r="H39">
        <f t="shared" si="1"/>
        <v>24.563333333333333</v>
      </c>
    </row>
    <row r="40" spans="1:8">
      <c r="A40" s="2" t="s">
        <v>24</v>
      </c>
      <c r="B40" s="2" t="s">
        <v>9</v>
      </c>
      <c r="C40" s="2" t="s">
        <v>20</v>
      </c>
      <c r="D40" s="2" t="s">
        <v>14</v>
      </c>
      <c r="E40" s="3">
        <v>25.67</v>
      </c>
      <c r="F40" s="3">
        <v>25.55</v>
      </c>
      <c r="G40" s="3">
        <v>25.62</v>
      </c>
      <c r="H40">
        <f t="shared" si="1"/>
        <v>25.613333333333333</v>
      </c>
    </row>
    <row r="41" spans="1:8">
      <c r="A41" s="2" t="s">
        <v>24</v>
      </c>
      <c r="B41" s="2" t="s">
        <v>9</v>
      </c>
      <c r="C41" s="2" t="s">
        <v>21</v>
      </c>
      <c r="D41" s="2" t="s">
        <v>14</v>
      </c>
      <c r="E41" s="3">
        <v>27.14</v>
      </c>
      <c r="F41" s="3">
        <v>27.1</v>
      </c>
      <c r="G41" s="3">
        <v>27.33</v>
      </c>
      <c r="H41">
        <f t="shared" si="1"/>
        <v>27.189999999999998</v>
      </c>
    </row>
    <row r="42" spans="1:8">
      <c r="A42" s="2" t="s">
        <v>25</v>
      </c>
      <c r="B42" s="2" t="s">
        <v>9</v>
      </c>
      <c r="C42" s="2" t="s">
        <v>10</v>
      </c>
      <c r="D42" s="2" t="s">
        <v>11</v>
      </c>
      <c r="E42" s="3">
        <v>19.23</v>
      </c>
      <c r="F42" s="3">
        <v>19.39</v>
      </c>
      <c r="G42" s="3">
        <v>19.23</v>
      </c>
      <c r="H42">
        <f t="shared" si="1"/>
        <v>19.283333333333335</v>
      </c>
    </row>
    <row r="43" spans="1:8">
      <c r="A43" s="2" t="s">
        <v>25</v>
      </c>
      <c r="B43" s="2" t="s">
        <v>9</v>
      </c>
      <c r="C43" s="2" t="s">
        <v>12</v>
      </c>
      <c r="D43" s="2" t="s">
        <v>11</v>
      </c>
      <c r="E43" s="3">
        <v>20.41</v>
      </c>
      <c r="F43" s="3">
        <v>20.2</v>
      </c>
      <c r="G43" s="3">
        <v>20.05</v>
      </c>
      <c r="H43">
        <f t="shared" si="1"/>
        <v>20.22</v>
      </c>
    </row>
    <row r="44" spans="1:8">
      <c r="A44" s="2" t="s">
        <v>25</v>
      </c>
      <c r="B44" s="2" t="s">
        <v>9</v>
      </c>
      <c r="C44" s="2" t="s">
        <v>13</v>
      </c>
      <c r="D44" s="2" t="s">
        <v>14</v>
      </c>
      <c r="E44" s="3">
        <v>28.39</v>
      </c>
      <c r="F44" s="3">
        <v>28.29</v>
      </c>
      <c r="G44" s="3">
        <v>28.47</v>
      </c>
      <c r="H44">
        <f t="shared" si="1"/>
        <v>28.383333333333336</v>
      </c>
    </row>
    <row r="45" spans="1:8">
      <c r="A45" s="2" t="s">
        <v>25</v>
      </c>
      <c r="B45" s="2" t="s">
        <v>9</v>
      </c>
      <c r="C45" s="2" t="s">
        <v>15</v>
      </c>
      <c r="D45" s="2" t="s">
        <v>14</v>
      </c>
      <c r="E45" s="3">
        <v>27.64</v>
      </c>
      <c r="F45" s="3">
        <v>27.82</v>
      </c>
      <c r="G45" s="3">
        <v>27.74</v>
      </c>
      <c r="H45">
        <f t="shared" si="1"/>
        <v>27.733333333333334</v>
      </c>
    </row>
    <row r="46" spans="1:8">
      <c r="A46" s="2" t="s">
        <v>25</v>
      </c>
      <c r="B46" s="2" t="s">
        <v>9</v>
      </c>
      <c r="C46" s="2" t="s">
        <v>16</v>
      </c>
      <c r="D46" s="2" t="s">
        <v>14</v>
      </c>
      <c r="E46" s="3">
        <v>28.65</v>
      </c>
      <c r="F46" s="3">
        <v>28.59</v>
      </c>
      <c r="G46" s="3">
        <v>28.5</v>
      </c>
      <c r="H46">
        <f t="shared" si="1"/>
        <v>28.58</v>
      </c>
    </row>
    <row r="47" spans="1:8">
      <c r="A47" s="2" t="s">
        <v>25</v>
      </c>
      <c r="B47" s="2" t="s">
        <v>9</v>
      </c>
      <c r="C47" s="2" t="s">
        <v>17</v>
      </c>
      <c r="D47" s="2" t="s">
        <v>14</v>
      </c>
      <c r="E47" s="3">
        <v>24.79</v>
      </c>
      <c r="F47" s="3">
        <v>24.67</v>
      </c>
      <c r="G47" s="3">
        <v>24.78</v>
      </c>
      <c r="H47">
        <f t="shared" si="1"/>
        <v>24.74666666666667</v>
      </c>
    </row>
    <row r="48" spans="1:8">
      <c r="A48" s="2" t="s">
        <v>25</v>
      </c>
      <c r="B48" s="2" t="s">
        <v>9</v>
      </c>
      <c r="C48" s="2" t="s">
        <v>18</v>
      </c>
      <c r="D48" s="2" t="s">
        <v>14</v>
      </c>
      <c r="E48" s="3">
        <v>24.11</v>
      </c>
      <c r="F48" s="3">
        <v>24.24</v>
      </c>
      <c r="G48" s="3">
        <v>24.19</v>
      </c>
      <c r="H48">
        <f t="shared" si="1"/>
        <v>24.179999999999996</v>
      </c>
    </row>
    <row r="49" spans="1:8">
      <c r="A49" s="2" t="s">
        <v>25</v>
      </c>
      <c r="B49" s="2" t="s">
        <v>9</v>
      </c>
      <c r="C49" s="2" t="s">
        <v>19</v>
      </c>
      <c r="D49" s="2" t="s">
        <v>14</v>
      </c>
      <c r="E49" s="3">
        <v>25.77</v>
      </c>
      <c r="F49" s="3">
        <v>26.08</v>
      </c>
      <c r="G49" s="3">
        <v>25.96</v>
      </c>
      <c r="H49">
        <f t="shared" si="1"/>
        <v>25.936666666666667</v>
      </c>
    </row>
    <row r="50" spans="1:8">
      <c r="A50" s="2" t="s">
        <v>25</v>
      </c>
      <c r="B50" s="2" t="s">
        <v>9</v>
      </c>
      <c r="C50" s="2" t="s">
        <v>20</v>
      </c>
      <c r="D50" s="2" t="s">
        <v>14</v>
      </c>
      <c r="E50" s="3">
        <v>26.36</v>
      </c>
      <c r="F50" s="3">
        <v>26.14</v>
      </c>
      <c r="G50" s="3">
        <v>26.41</v>
      </c>
      <c r="H50">
        <f t="shared" si="1"/>
        <v>26.303333333333331</v>
      </c>
    </row>
    <row r="51" spans="1:8">
      <c r="A51" s="2" t="s">
        <v>25</v>
      </c>
      <c r="B51" s="2" t="s">
        <v>9</v>
      </c>
      <c r="C51" s="2" t="s">
        <v>21</v>
      </c>
      <c r="D51" s="2" t="s">
        <v>14</v>
      </c>
      <c r="E51" s="3">
        <v>26.97</v>
      </c>
      <c r="F51" s="3">
        <v>26.87</v>
      </c>
      <c r="G51" s="3">
        <v>26.84</v>
      </c>
      <c r="H51">
        <f t="shared" si="1"/>
        <v>26.893333333333334</v>
      </c>
    </row>
    <row r="52" spans="1:8">
      <c r="A52" s="2" t="s">
        <v>26</v>
      </c>
      <c r="B52" s="2" t="s">
        <v>9</v>
      </c>
      <c r="C52" s="2" t="s">
        <v>10</v>
      </c>
      <c r="D52" s="2" t="s">
        <v>11</v>
      </c>
      <c r="E52" s="3">
        <v>19.190000000000001</v>
      </c>
      <c r="F52" s="3">
        <v>18.91</v>
      </c>
      <c r="G52" s="3">
        <v>19.41</v>
      </c>
      <c r="H52">
        <f t="shared" si="1"/>
        <v>19.170000000000002</v>
      </c>
    </row>
    <row r="53" spans="1:8">
      <c r="A53" s="2" t="s">
        <v>26</v>
      </c>
      <c r="B53" s="2" t="s">
        <v>9</v>
      </c>
      <c r="C53" s="2" t="s">
        <v>12</v>
      </c>
      <c r="D53" s="2" t="s">
        <v>11</v>
      </c>
      <c r="E53" s="3">
        <v>20.3</v>
      </c>
      <c r="F53" s="3">
        <v>19.97</v>
      </c>
      <c r="G53" s="3">
        <v>20.12</v>
      </c>
      <c r="H53">
        <f t="shared" si="1"/>
        <v>20.13</v>
      </c>
    </row>
    <row r="54" spans="1:8">
      <c r="A54" s="2" t="s">
        <v>26</v>
      </c>
      <c r="B54" s="2" t="s">
        <v>9</v>
      </c>
      <c r="C54" s="2" t="s">
        <v>13</v>
      </c>
      <c r="D54" s="2" t="s">
        <v>14</v>
      </c>
      <c r="E54" s="3">
        <v>29.13</v>
      </c>
      <c r="F54" s="3">
        <v>29.05</v>
      </c>
      <c r="G54" s="3">
        <v>29.16</v>
      </c>
      <c r="H54">
        <f t="shared" si="1"/>
        <v>29.113333333333333</v>
      </c>
    </row>
    <row r="55" spans="1:8">
      <c r="A55" s="2" t="s">
        <v>26</v>
      </c>
      <c r="B55" s="2" t="s">
        <v>9</v>
      </c>
      <c r="C55" s="2" t="s">
        <v>15</v>
      </c>
      <c r="D55" s="2" t="s">
        <v>14</v>
      </c>
      <c r="E55" s="3">
        <v>27.75</v>
      </c>
      <c r="F55" s="3">
        <v>27.82</v>
      </c>
      <c r="G55" s="3">
        <v>27.64</v>
      </c>
      <c r="H55">
        <f t="shared" si="1"/>
        <v>27.736666666666668</v>
      </c>
    </row>
    <row r="56" spans="1:8">
      <c r="A56" s="2" t="s">
        <v>26</v>
      </c>
      <c r="B56" s="2" t="s">
        <v>9</v>
      </c>
      <c r="C56" s="2" t="s">
        <v>16</v>
      </c>
      <c r="D56" s="2" t="s">
        <v>14</v>
      </c>
      <c r="E56" s="3">
        <v>28.45</v>
      </c>
      <c r="F56" s="3">
        <v>28.65</v>
      </c>
      <c r="G56" s="3">
        <v>28.56</v>
      </c>
      <c r="H56">
        <f t="shared" si="1"/>
        <v>28.553333333333331</v>
      </c>
    </row>
    <row r="57" spans="1:8">
      <c r="A57" s="2" t="s">
        <v>26</v>
      </c>
      <c r="B57" s="2" t="s">
        <v>9</v>
      </c>
      <c r="C57" s="2" t="s">
        <v>17</v>
      </c>
      <c r="D57" s="2" t="s">
        <v>14</v>
      </c>
      <c r="E57" s="3">
        <v>23.89</v>
      </c>
      <c r="F57" s="3">
        <v>24.06</v>
      </c>
      <c r="G57" s="3">
        <v>24.15</v>
      </c>
      <c r="H57">
        <f t="shared" si="1"/>
        <v>24.033333333333331</v>
      </c>
    </row>
    <row r="58" spans="1:8">
      <c r="A58" s="2" t="s">
        <v>26</v>
      </c>
      <c r="B58" s="2" t="s">
        <v>9</v>
      </c>
      <c r="C58" s="2" t="s">
        <v>18</v>
      </c>
      <c r="D58" s="2" t="s">
        <v>14</v>
      </c>
      <c r="E58" s="3">
        <v>24.03</v>
      </c>
      <c r="F58" s="3">
        <v>23.85</v>
      </c>
      <c r="G58" s="3">
        <v>23.9</v>
      </c>
      <c r="H58">
        <f t="shared" si="1"/>
        <v>23.926666666666666</v>
      </c>
    </row>
    <row r="59" spans="1:8">
      <c r="A59" s="2" t="s">
        <v>26</v>
      </c>
      <c r="B59" s="2" t="s">
        <v>9</v>
      </c>
      <c r="C59" s="2" t="s">
        <v>19</v>
      </c>
      <c r="D59" s="2" t="s">
        <v>14</v>
      </c>
      <c r="E59" s="3">
        <v>25.29</v>
      </c>
      <c r="F59" s="3">
        <v>25.3</v>
      </c>
      <c r="G59" s="3">
        <v>25.18</v>
      </c>
      <c r="H59">
        <f t="shared" si="1"/>
        <v>25.256666666666671</v>
      </c>
    </row>
    <row r="60" spans="1:8">
      <c r="A60" s="2" t="s">
        <v>26</v>
      </c>
      <c r="B60" s="2" t="s">
        <v>9</v>
      </c>
      <c r="C60" s="2" t="s">
        <v>20</v>
      </c>
      <c r="D60" s="2" t="s">
        <v>14</v>
      </c>
      <c r="E60" s="3">
        <v>25.66</v>
      </c>
      <c r="F60" s="3">
        <v>25.61</v>
      </c>
      <c r="G60" s="3">
        <v>25.83</v>
      </c>
      <c r="H60">
        <f t="shared" si="1"/>
        <v>25.7</v>
      </c>
    </row>
    <row r="61" spans="1:8">
      <c r="A61" s="2" t="s">
        <v>26</v>
      </c>
      <c r="B61" s="2" t="s">
        <v>9</v>
      </c>
      <c r="C61" s="2" t="s">
        <v>21</v>
      </c>
      <c r="D61" s="2" t="s">
        <v>14</v>
      </c>
      <c r="E61" s="3">
        <v>26.24</v>
      </c>
      <c r="F61" s="3">
        <v>26.33</v>
      </c>
      <c r="G61" s="3">
        <v>26.46</v>
      </c>
      <c r="H61">
        <f t="shared" si="1"/>
        <v>26.343333333333334</v>
      </c>
    </row>
    <row r="62" spans="1:8">
      <c r="A62" s="2" t="s">
        <v>27</v>
      </c>
      <c r="B62" s="2" t="s">
        <v>28</v>
      </c>
      <c r="C62" s="2" t="s">
        <v>10</v>
      </c>
      <c r="D62" s="2" t="s">
        <v>11</v>
      </c>
      <c r="E62" s="3">
        <v>19.399999999999999</v>
      </c>
      <c r="F62" s="3">
        <v>19.36</v>
      </c>
      <c r="G62" s="3">
        <v>19.37</v>
      </c>
      <c r="H62">
        <f t="shared" si="1"/>
        <v>19.376666666666665</v>
      </c>
    </row>
    <row r="63" spans="1:8">
      <c r="A63" s="2" t="s">
        <v>27</v>
      </c>
      <c r="B63" s="2" t="s">
        <v>28</v>
      </c>
      <c r="C63" s="2" t="s">
        <v>12</v>
      </c>
      <c r="D63" s="2" t="s">
        <v>11</v>
      </c>
      <c r="E63" s="3">
        <v>20.46</v>
      </c>
      <c r="F63" s="3">
        <v>20.399999999999999</v>
      </c>
      <c r="G63" s="3">
        <v>20.74</v>
      </c>
      <c r="H63">
        <f t="shared" si="1"/>
        <v>20.533333333333331</v>
      </c>
    </row>
    <row r="64" spans="1:8">
      <c r="A64" s="2" t="s">
        <v>27</v>
      </c>
      <c r="B64" s="2" t="s">
        <v>28</v>
      </c>
      <c r="C64" s="2" t="s">
        <v>13</v>
      </c>
      <c r="D64" s="2" t="s">
        <v>14</v>
      </c>
      <c r="E64" s="3">
        <v>25.28</v>
      </c>
      <c r="F64" s="3">
        <v>25.25</v>
      </c>
      <c r="G64" s="3">
        <v>25.18</v>
      </c>
      <c r="H64">
        <f t="shared" si="1"/>
        <v>25.236666666666668</v>
      </c>
    </row>
    <row r="65" spans="1:8">
      <c r="A65" s="2" t="s">
        <v>27</v>
      </c>
      <c r="B65" s="2" t="s">
        <v>28</v>
      </c>
      <c r="C65" s="2" t="s">
        <v>15</v>
      </c>
      <c r="D65" s="2" t="s">
        <v>14</v>
      </c>
      <c r="E65" s="3">
        <v>26.14</v>
      </c>
      <c r="F65" s="3">
        <v>25.79</v>
      </c>
      <c r="G65" s="3">
        <v>25.91</v>
      </c>
      <c r="H65">
        <f t="shared" si="1"/>
        <v>25.946666666666669</v>
      </c>
    </row>
    <row r="66" spans="1:8">
      <c r="A66" s="2" t="s">
        <v>27</v>
      </c>
      <c r="B66" s="2" t="s">
        <v>28</v>
      </c>
      <c r="C66" s="2" t="s">
        <v>16</v>
      </c>
      <c r="D66" s="2" t="s">
        <v>14</v>
      </c>
      <c r="E66" s="3">
        <v>27.65</v>
      </c>
      <c r="F66" s="3">
        <v>27.4</v>
      </c>
      <c r="G66" s="3">
        <v>27.29</v>
      </c>
      <c r="H66">
        <f t="shared" ref="H66:H97" si="2">AVERAGE(E66:G66)</f>
        <v>27.446666666666669</v>
      </c>
    </row>
    <row r="67" spans="1:8">
      <c r="A67" s="2" t="s">
        <v>27</v>
      </c>
      <c r="B67" s="2" t="s">
        <v>28</v>
      </c>
      <c r="C67" s="2" t="s">
        <v>17</v>
      </c>
      <c r="D67" s="2" t="s">
        <v>14</v>
      </c>
      <c r="E67" s="3">
        <v>23.1</v>
      </c>
      <c r="F67" s="3">
        <v>23.1</v>
      </c>
      <c r="G67" s="3">
        <v>23.15</v>
      </c>
      <c r="H67">
        <f t="shared" si="2"/>
        <v>23.116666666666664</v>
      </c>
    </row>
    <row r="68" spans="1:8">
      <c r="A68" s="2" t="s">
        <v>27</v>
      </c>
      <c r="B68" s="2" t="s">
        <v>28</v>
      </c>
      <c r="C68" s="2" t="s">
        <v>18</v>
      </c>
      <c r="D68" s="2" t="s">
        <v>14</v>
      </c>
      <c r="E68" s="3">
        <v>22.83</v>
      </c>
      <c r="F68" s="3">
        <v>22.73</v>
      </c>
      <c r="G68" s="3">
        <v>23.01</v>
      </c>
      <c r="H68">
        <f t="shared" si="2"/>
        <v>22.856666666666669</v>
      </c>
    </row>
    <row r="69" spans="1:8">
      <c r="A69" s="2" t="s">
        <v>27</v>
      </c>
      <c r="B69" s="2" t="s">
        <v>28</v>
      </c>
      <c r="C69" s="2" t="s">
        <v>19</v>
      </c>
      <c r="D69" s="2" t="s">
        <v>14</v>
      </c>
      <c r="E69" s="3">
        <v>24.36</v>
      </c>
      <c r="F69" s="3">
        <v>24.33</v>
      </c>
      <c r="G69" s="3">
        <v>24.22</v>
      </c>
      <c r="H69">
        <f t="shared" si="2"/>
        <v>24.303333333333331</v>
      </c>
    </row>
    <row r="70" spans="1:8">
      <c r="A70" s="2" t="s">
        <v>27</v>
      </c>
      <c r="B70" s="2" t="s">
        <v>28</v>
      </c>
      <c r="C70" s="2" t="s">
        <v>20</v>
      </c>
      <c r="D70" s="2" t="s">
        <v>14</v>
      </c>
      <c r="E70" s="3">
        <v>28.04</v>
      </c>
      <c r="F70" s="3">
        <v>27.97</v>
      </c>
      <c r="G70" s="3">
        <v>27.99</v>
      </c>
      <c r="H70">
        <f t="shared" si="2"/>
        <v>28</v>
      </c>
    </row>
    <row r="71" spans="1:8">
      <c r="A71" s="2" t="s">
        <v>27</v>
      </c>
      <c r="B71" s="2" t="s">
        <v>28</v>
      </c>
      <c r="C71" s="2" t="s">
        <v>21</v>
      </c>
      <c r="D71" s="2" t="s">
        <v>14</v>
      </c>
      <c r="E71" s="3">
        <v>27.37</v>
      </c>
      <c r="F71" s="3">
        <v>27.65</v>
      </c>
      <c r="G71" s="3">
        <v>27.66</v>
      </c>
      <c r="H71">
        <f t="shared" si="2"/>
        <v>27.56</v>
      </c>
    </row>
    <row r="72" spans="1:8">
      <c r="A72" s="2" t="s">
        <v>29</v>
      </c>
      <c r="B72" s="2" t="s">
        <v>28</v>
      </c>
      <c r="C72" s="2" t="s">
        <v>10</v>
      </c>
      <c r="D72" s="2" t="s">
        <v>11</v>
      </c>
      <c r="E72" s="3">
        <v>19.059999999999999</v>
      </c>
      <c r="F72" s="3">
        <v>19.23</v>
      </c>
      <c r="G72" s="3">
        <v>19.02</v>
      </c>
      <c r="H72">
        <f t="shared" si="2"/>
        <v>19.103333333333335</v>
      </c>
    </row>
    <row r="73" spans="1:8">
      <c r="A73" s="2" t="s">
        <v>29</v>
      </c>
      <c r="B73" s="2" t="s">
        <v>28</v>
      </c>
      <c r="C73" s="2" t="s">
        <v>12</v>
      </c>
      <c r="D73" s="2" t="s">
        <v>11</v>
      </c>
      <c r="E73" s="3">
        <v>19.79</v>
      </c>
      <c r="F73" s="3">
        <v>19.850000000000001</v>
      </c>
      <c r="G73" s="3">
        <v>19.71</v>
      </c>
      <c r="H73">
        <f t="shared" si="2"/>
        <v>19.783333333333335</v>
      </c>
    </row>
    <row r="74" spans="1:8">
      <c r="A74" s="2" t="s">
        <v>29</v>
      </c>
      <c r="B74" s="2" t="s">
        <v>28</v>
      </c>
      <c r="C74" s="2" t="s">
        <v>13</v>
      </c>
      <c r="D74" s="2" t="s">
        <v>14</v>
      </c>
      <c r="E74" s="3">
        <v>25.07</v>
      </c>
      <c r="F74" s="3">
        <v>25.28</v>
      </c>
      <c r="G74" s="3">
        <v>25.17</v>
      </c>
      <c r="H74">
        <f t="shared" si="2"/>
        <v>25.173333333333336</v>
      </c>
    </row>
    <row r="75" spans="1:8">
      <c r="A75" s="2" t="s">
        <v>29</v>
      </c>
      <c r="B75" s="2" t="s">
        <v>28</v>
      </c>
      <c r="C75" s="2" t="s">
        <v>15</v>
      </c>
      <c r="D75" s="2" t="s">
        <v>14</v>
      </c>
      <c r="E75" s="3">
        <v>25.34</v>
      </c>
      <c r="F75" s="3">
        <v>25.51</v>
      </c>
      <c r="G75" s="3">
        <v>25.29</v>
      </c>
      <c r="H75">
        <f t="shared" si="2"/>
        <v>25.38</v>
      </c>
    </row>
    <row r="76" spans="1:8">
      <c r="A76" s="2" t="s">
        <v>29</v>
      </c>
      <c r="B76" s="2" t="s">
        <v>28</v>
      </c>
      <c r="C76" s="2" t="s">
        <v>16</v>
      </c>
      <c r="D76" s="2" t="s">
        <v>14</v>
      </c>
      <c r="E76" s="3">
        <v>27.45</v>
      </c>
      <c r="F76" s="3">
        <v>27.31</v>
      </c>
      <c r="G76" s="3">
        <v>27.64</v>
      </c>
      <c r="H76">
        <f t="shared" si="2"/>
        <v>27.466666666666669</v>
      </c>
    </row>
    <row r="77" spans="1:8">
      <c r="A77" s="2" t="s">
        <v>29</v>
      </c>
      <c r="B77" s="2" t="s">
        <v>28</v>
      </c>
      <c r="C77" s="2" t="s">
        <v>17</v>
      </c>
      <c r="D77" s="2" t="s">
        <v>14</v>
      </c>
      <c r="E77" s="3">
        <v>23.55</v>
      </c>
      <c r="F77" s="3">
        <v>23.85</v>
      </c>
      <c r="G77" s="3">
        <v>23.73</v>
      </c>
      <c r="H77">
        <f t="shared" si="2"/>
        <v>23.710000000000004</v>
      </c>
    </row>
    <row r="78" spans="1:8">
      <c r="A78" s="2" t="s">
        <v>29</v>
      </c>
      <c r="B78" s="2" t="s">
        <v>28</v>
      </c>
      <c r="C78" s="2" t="s">
        <v>18</v>
      </c>
      <c r="D78" s="2" t="s">
        <v>14</v>
      </c>
      <c r="E78" s="3">
        <v>23.15</v>
      </c>
      <c r="F78" s="3">
        <v>23.15</v>
      </c>
      <c r="G78" s="3">
        <v>22.85</v>
      </c>
      <c r="H78">
        <f t="shared" si="2"/>
        <v>23.05</v>
      </c>
    </row>
    <row r="79" spans="1:8">
      <c r="A79" s="2" t="s">
        <v>29</v>
      </c>
      <c r="B79" s="2" t="s">
        <v>28</v>
      </c>
      <c r="C79" s="2" t="s">
        <v>19</v>
      </c>
      <c r="D79" s="2" t="s">
        <v>14</v>
      </c>
      <c r="E79" s="3">
        <v>23.72</v>
      </c>
      <c r="F79" s="3">
        <v>23.78</v>
      </c>
      <c r="G79" s="3">
        <v>23.86</v>
      </c>
      <c r="H79">
        <f t="shared" si="2"/>
        <v>23.786666666666665</v>
      </c>
    </row>
    <row r="80" spans="1:8">
      <c r="A80" s="2" t="s">
        <v>29</v>
      </c>
      <c r="B80" s="2" t="s">
        <v>28</v>
      </c>
      <c r="C80" s="2" t="s">
        <v>20</v>
      </c>
      <c r="D80" s="2" t="s">
        <v>14</v>
      </c>
      <c r="E80" s="3">
        <v>27.83</v>
      </c>
      <c r="F80" s="3">
        <v>28.17</v>
      </c>
      <c r="G80" s="3">
        <v>27.85</v>
      </c>
      <c r="H80">
        <f t="shared" si="2"/>
        <v>27.95</v>
      </c>
    </row>
    <row r="81" spans="1:8">
      <c r="A81" s="2" t="s">
        <v>29</v>
      </c>
      <c r="B81" s="2" t="s">
        <v>28</v>
      </c>
      <c r="C81" s="2" t="s">
        <v>21</v>
      </c>
      <c r="D81" s="2" t="s">
        <v>14</v>
      </c>
      <c r="E81" s="3">
        <v>28.25</v>
      </c>
      <c r="F81" s="3">
        <v>28.08</v>
      </c>
      <c r="G81" s="3">
        <v>28.46</v>
      </c>
      <c r="H81">
        <f t="shared" si="2"/>
        <v>28.263333333333332</v>
      </c>
    </row>
    <row r="82" spans="1:8">
      <c r="A82" s="2" t="s">
        <v>30</v>
      </c>
      <c r="B82" s="2" t="s">
        <v>28</v>
      </c>
      <c r="C82" s="2" t="s">
        <v>10</v>
      </c>
      <c r="D82" s="2" t="s">
        <v>11</v>
      </c>
      <c r="E82" s="3">
        <v>19.13</v>
      </c>
      <c r="F82" s="3">
        <v>19</v>
      </c>
      <c r="G82" s="3">
        <v>19.100000000000001</v>
      </c>
      <c r="H82">
        <f t="shared" si="2"/>
        <v>19.076666666666664</v>
      </c>
    </row>
    <row r="83" spans="1:8">
      <c r="A83" s="2" t="s">
        <v>30</v>
      </c>
      <c r="B83" s="2" t="s">
        <v>28</v>
      </c>
      <c r="C83" s="2" t="s">
        <v>12</v>
      </c>
      <c r="D83" s="2" t="s">
        <v>11</v>
      </c>
      <c r="E83" s="3">
        <v>20.309999999999999</v>
      </c>
      <c r="F83" s="3">
        <v>19.98</v>
      </c>
      <c r="G83" s="3">
        <v>20.18</v>
      </c>
      <c r="H83">
        <f t="shared" si="2"/>
        <v>20.156666666666666</v>
      </c>
    </row>
    <row r="84" spans="1:8">
      <c r="A84" s="2" t="s">
        <v>30</v>
      </c>
      <c r="B84" s="2" t="s">
        <v>28</v>
      </c>
      <c r="C84" s="2" t="s">
        <v>13</v>
      </c>
      <c r="D84" s="2" t="s">
        <v>14</v>
      </c>
      <c r="E84" s="3">
        <v>25.86</v>
      </c>
      <c r="F84" s="3">
        <v>25.99</v>
      </c>
      <c r="G84" s="3">
        <v>25.99</v>
      </c>
      <c r="H84">
        <f t="shared" si="2"/>
        <v>25.946666666666662</v>
      </c>
    </row>
    <row r="85" spans="1:8">
      <c r="A85" s="2" t="s">
        <v>30</v>
      </c>
      <c r="B85" s="2" t="s">
        <v>28</v>
      </c>
      <c r="C85" s="2" t="s">
        <v>15</v>
      </c>
      <c r="D85" s="2" t="s">
        <v>14</v>
      </c>
      <c r="E85" s="3">
        <v>25.24</v>
      </c>
      <c r="F85" s="3">
        <v>25.17</v>
      </c>
      <c r="G85" s="3">
        <v>25.05</v>
      </c>
      <c r="H85">
        <f t="shared" si="2"/>
        <v>25.153333333333332</v>
      </c>
    </row>
    <row r="86" spans="1:8">
      <c r="A86" s="2" t="s">
        <v>30</v>
      </c>
      <c r="B86" s="2" t="s">
        <v>28</v>
      </c>
      <c r="C86" s="2" t="s">
        <v>16</v>
      </c>
      <c r="D86" s="2" t="s">
        <v>14</v>
      </c>
      <c r="E86" s="3">
        <v>28.24</v>
      </c>
      <c r="F86" s="3">
        <v>28.12</v>
      </c>
      <c r="G86" s="3">
        <v>28.07</v>
      </c>
      <c r="H86">
        <f t="shared" si="2"/>
        <v>28.143333333333334</v>
      </c>
    </row>
    <row r="87" spans="1:8">
      <c r="A87" s="2" t="s">
        <v>30</v>
      </c>
      <c r="B87" s="2" t="s">
        <v>28</v>
      </c>
      <c r="C87" s="2" t="s">
        <v>17</v>
      </c>
      <c r="D87" s="2" t="s">
        <v>14</v>
      </c>
      <c r="E87" s="3">
        <v>23.78</v>
      </c>
      <c r="F87" s="3">
        <v>23.61</v>
      </c>
      <c r="G87" s="3">
        <v>23.68</v>
      </c>
      <c r="H87">
        <f t="shared" si="2"/>
        <v>23.689999999999998</v>
      </c>
    </row>
    <row r="88" spans="1:8">
      <c r="A88" s="2" t="s">
        <v>30</v>
      </c>
      <c r="B88" s="2" t="s">
        <v>28</v>
      </c>
      <c r="C88" s="2" t="s">
        <v>18</v>
      </c>
      <c r="D88" s="2" t="s">
        <v>14</v>
      </c>
      <c r="E88" s="3">
        <v>23.4</v>
      </c>
      <c r="F88" s="3">
        <v>23.31</v>
      </c>
      <c r="G88" s="3">
        <v>23.41</v>
      </c>
      <c r="H88">
        <f t="shared" si="2"/>
        <v>23.373333333333331</v>
      </c>
    </row>
    <row r="89" spans="1:8">
      <c r="A89" s="2" t="s">
        <v>30</v>
      </c>
      <c r="B89" s="2" t="s">
        <v>28</v>
      </c>
      <c r="C89" s="2" t="s">
        <v>19</v>
      </c>
      <c r="D89" s="2" t="s">
        <v>14</v>
      </c>
      <c r="E89" s="3">
        <v>24.32</v>
      </c>
      <c r="F89" s="3">
        <v>24.3</v>
      </c>
      <c r="G89" s="3">
        <v>24.21</v>
      </c>
      <c r="H89">
        <f t="shared" si="2"/>
        <v>24.276666666666671</v>
      </c>
    </row>
    <row r="90" spans="1:8">
      <c r="A90" s="2" t="s">
        <v>30</v>
      </c>
      <c r="B90" s="2" t="s">
        <v>28</v>
      </c>
      <c r="C90" s="2" t="s">
        <v>20</v>
      </c>
      <c r="D90" s="2" t="s">
        <v>14</v>
      </c>
      <c r="E90" s="3">
        <v>27.39</v>
      </c>
      <c r="F90" s="3">
        <v>27.42</v>
      </c>
      <c r="G90" s="3">
        <v>27.39</v>
      </c>
      <c r="H90">
        <f t="shared" si="2"/>
        <v>27.400000000000002</v>
      </c>
    </row>
    <row r="91" spans="1:8">
      <c r="A91" s="2" t="s">
        <v>30</v>
      </c>
      <c r="B91" s="2" t="s">
        <v>28</v>
      </c>
      <c r="C91" s="2" t="s">
        <v>21</v>
      </c>
      <c r="D91" s="2" t="s">
        <v>14</v>
      </c>
      <c r="E91" s="3">
        <v>28.25</v>
      </c>
      <c r="F91" s="3">
        <v>28.45</v>
      </c>
      <c r="G91" s="3">
        <v>28.53</v>
      </c>
      <c r="H91">
        <f t="shared" si="2"/>
        <v>28.41</v>
      </c>
    </row>
    <row r="92" spans="1:8">
      <c r="A92" s="2" t="s">
        <v>31</v>
      </c>
      <c r="B92" s="2" t="s">
        <v>28</v>
      </c>
      <c r="C92" s="2" t="s">
        <v>10</v>
      </c>
      <c r="D92" s="2" t="s">
        <v>11</v>
      </c>
      <c r="E92" s="3">
        <v>18.93</v>
      </c>
      <c r="F92" s="3">
        <v>18.97</v>
      </c>
      <c r="G92" s="3">
        <v>18.8</v>
      </c>
      <c r="H92">
        <f t="shared" si="2"/>
        <v>18.900000000000002</v>
      </c>
    </row>
    <row r="93" spans="1:8">
      <c r="A93" s="2" t="s">
        <v>31</v>
      </c>
      <c r="B93" s="2" t="s">
        <v>28</v>
      </c>
      <c r="C93" s="2" t="s">
        <v>12</v>
      </c>
      <c r="D93" s="2" t="s">
        <v>11</v>
      </c>
      <c r="E93" s="3">
        <v>20.05</v>
      </c>
      <c r="F93" s="3">
        <v>19.96</v>
      </c>
      <c r="G93" s="3">
        <v>19.920000000000002</v>
      </c>
      <c r="H93">
        <f t="shared" si="2"/>
        <v>19.97666666666667</v>
      </c>
    </row>
    <row r="94" spans="1:8">
      <c r="A94" s="2" t="s">
        <v>31</v>
      </c>
      <c r="B94" s="2" t="s">
        <v>28</v>
      </c>
      <c r="C94" s="2" t="s">
        <v>13</v>
      </c>
      <c r="D94" s="2" t="s">
        <v>14</v>
      </c>
      <c r="E94" s="3">
        <v>25.18</v>
      </c>
      <c r="F94" s="3">
        <v>24.94</v>
      </c>
      <c r="G94" s="3">
        <v>24.86</v>
      </c>
      <c r="H94">
        <f t="shared" si="2"/>
        <v>24.993333333333336</v>
      </c>
    </row>
    <row r="95" spans="1:8">
      <c r="A95" s="2" t="s">
        <v>31</v>
      </c>
      <c r="B95" s="2" t="s">
        <v>28</v>
      </c>
      <c r="C95" s="2" t="s">
        <v>15</v>
      </c>
      <c r="D95" s="2" t="s">
        <v>14</v>
      </c>
      <c r="E95" s="3">
        <v>25.2</v>
      </c>
      <c r="F95" s="3">
        <v>25.01</v>
      </c>
      <c r="G95" s="3">
        <v>26.3</v>
      </c>
      <c r="H95">
        <f t="shared" si="2"/>
        <v>25.503333333333334</v>
      </c>
    </row>
    <row r="96" spans="1:8">
      <c r="A96" s="2" t="s">
        <v>31</v>
      </c>
      <c r="B96" s="2" t="s">
        <v>28</v>
      </c>
      <c r="C96" s="2" t="s">
        <v>16</v>
      </c>
      <c r="D96" s="2" t="s">
        <v>14</v>
      </c>
      <c r="E96" s="3">
        <v>27.73</v>
      </c>
      <c r="F96" s="3">
        <v>27.81</v>
      </c>
      <c r="G96" s="3">
        <v>27.57</v>
      </c>
      <c r="H96">
        <f t="shared" si="2"/>
        <v>27.703333333333333</v>
      </c>
    </row>
    <row r="97" spans="1:8">
      <c r="A97" s="2" t="s">
        <v>31</v>
      </c>
      <c r="B97" s="2" t="s">
        <v>28</v>
      </c>
      <c r="C97" s="2" t="s">
        <v>17</v>
      </c>
      <c r="D97" s="2" t="s">
        <v>14</v>
      </c>
      <c r="E97" s="3">
        <v>23.97</v>
      </c>
      <c r="F97" s="3">
        <v>24.02</v>
      </c>
      <c r="G97" s="3">
        <v>24.21</v>
      </c>
      <c r="H97">
        <f t="shared" si="2"/>
        <v>24.066666666666663</v>
      </c>
    </row>
    <row r="98" spans="1:8">
      <c r="A98" s="2" t="s">
        <v>31</v>
      </c>
      <c r="B98" s="2" t="s">
        <v>28</v>
      </c>
      <c r="C98" s="2" t="s">
        <v>18</v>
      </c>
      <c r="D98" s="2" t="s">
        <v>14</v>
      </c>
      <c r="E98" s="3">
        <v>23.47</v>
      </c>
      <c r="F98" s="3">
        <v>23.33</v>
      </c>
      <c r="G98" s="3">
        <v>23.54</v>
      </c>
      <c r="H98">
        <f t="shared" ref="H98:H121" si="3">AVERAGE(E98:G98)</f>
        <v>23.446666666666669</v>
      </c>
    </row>
    <row r="99" spans="1:8">
      <c r="A99" s="2" t="s">
        <v>31</v>
      </c>
      <c r="B99" s="2" t="s">
        <v>28</v>
      </c>
      <c r="C99" s="2" t="s">
        <v>19</v>
      </c>
      <c r="D99" s="2" t="s">
        <v>14</v>
      </c>
      <c r="E99" s="3">
        <v>23.79</v>
      </c>
      <c r="F99" s="3">
        <v>23.83</v>
      </c>
      <c r="G99" s="3">
        <v>23.93</v>
      </c>
      <c r="H99">
        <f t="shared" si="3"/>
        <v>23.849999999999998</v>
      </c>
    </row>
    <row r="100" spans="1:8">
      <c r="A100" s="2" t="s">
        <v>31</v>
      </c>
      <c r="B100" s="2" t="s">
        <v>28</v>
      </c>
      <c r="C100" s="2" t="s">
        <v>20</v>
      </c>
      <c r="D100" s="2" t="s">
        <v>14</v>
      </c>
      <c r="E100" s="3">
        <v>26.97</v>
      </c>
      <c r="F100" s="3">
        <v>26.95</v>
      </c>
      <c r="G100" s="3">
        <v>26.86</v>
      </c>
      <c r="H100">
        <f t="shared" si="3"/>
        <v>26.926666666666666</v>
      </c>
    </row>
    <row r="101" spans="1:8">
      <c r="A101" s="2" t="s">
        <v>31</v>
      </c>
      <c r="B101" s="2" t="s">
        <v>28</v>
      </c>
      <c r="C101" s="2" t="s">
        <v>21</v>
      </c>
      <c r="D101" s="2" t="s">
        <v>14</v>
      </c>
      <c r="E101" s="3">
        <v>28.21</v>
      </c>
      <c r="F101" s="3">
        <v>28.07</v>
      </c>
      <c r="G101" s="3">
        <v>28.06</v>
      </c>
      <c r="H101">
        <f t="shared" si="3"/>
        <v>28.113333333333333</v>
      </c>
    </row>
    <row r="102" spans="1:8">
      <c r="A102" s="2" t="s">
        <v>32</v>
      </c>
      <c r="B102" s="2" t="s">
        <v>28</v>
      </c>
      <c r="C102" s="2" t="s">
        <v>10</v>
      </c>
      <c r="D102" s="2" t="s">
        <v>11</v>
      </c>
      <c r="E102" s="3">
        <v>19.13</v>
      </c>
      <c r="F102" s="3">
        <v>19.100000000000001</v>
      </c>
      <c r="G102" s="3">
        <v>19.18</v>
      </c>
      <c r="H102">
        <f t="shared" si="3"/>
        <v>19.136666666666667</v>
      </c>
    </row>
    <row r="103" spans="1:8">
      <c r="A103" s="2" t="s">
        <v>32</v>
      </c>
      <c r="B103" s="2" t="s">
        <v>28</v>
      </c>
      <c r="C103" s="2" t="s">
        <v>12</v>
      </c>
      <c r="D103" s="2" t="s">
        <v>11</v>
      </c>
      <c r="E103" s="3">
        <v>20.29</v>
      </c>
      <c r="F103" s="3">
        <v>20.420000000000002</v>
      </c>
      <c r="G103" s="3">
        <v>20.309999999999999</v>
      </c>
      <c r="H103">
        <f t="shared" si="3"/>
        <v>20.34</v>
      </c>
    </row>
    <row r="104" spans="1:8">
      <c r="A104" s="2" t="s">
        <v>32</v>
      </c>
      <c r="B104" s="2" t="s">
        <v>28</v>
      </c>
      <c r="C104" s="2" t="s">
        <v>13</v>
      </c>
      <c r="D104" s="2" t="s">
        <v>14</v>
      </c>
      <c r="E104" s="3">
        <v>25.15</v>
      </c>
      <c r="F104" s="3">
        <v>25.38</v>
      </c>
      <c r="G104" s="3">
        <v>25.36</v>
      </c>
      <c r="H104">
        <f t="shared" si="3"/>
        <v>25.296666666666667</v>
      </c>
    </row>
    <row r="105" spans="1:8">
      <c r="A105" s="2" t="s">
        <v>32</v>
      </c>
      <c r="B105" s="2" t="s">
        <v>28</v>
      </c>
      <c r="C105" s="2" t="s">
        <v>15</v>
      </c>
      <c r="D105" s="2" t="s">
        <v>14</v>
      </c>
      <c r="E105" s="3">
        <v>25.77</v>
      </c>
      <c r="F105" s="3">
        <v>25.86</v>
      </c>
      <c r="G105" s="3">
        <v>25.85</v>
      </c>
      <c r="H105">
        <f t="shared" si="3"/>
        <v>25.826666666666664</v>
      </c>
    </row>
    <row r="106" spans="1:8">
      <c r="A106" s="2" t="s">
        <v>32</v>
      </c>
      <c r="B106" s="2" t="s">
        <v>28</v>
      </c>
      <c r="C106" s="2" t="s">
        <v>16</v>
      </c>
      <c r="D106" s="2" t="s">
        <v>14</v>
      </c>
      <c r="E106" s="3">
        <v>27.57</v>
      </c>
      <c r="F106" s="3">
        <v>27.36</v>
      </c>
      <c r="G106" s="3">
        <v>27.67</v>
      </c>
      <c r="H106">
        <f t="shared" si="3"/>
        <v>27.533333333333331</v>
      </c>
    </row>
    <row r="107" spans="1:8">
      <c r="A107" s="2" t="s">
        <v>32</v>
      </c>
      <c r="B107" s="2" t="s">
        <v>28</v>
      </c>
      <c r="C107" s="2" t="s">
        <v>17</v>
      </c>
      <c r="D107" s="2" t="s">
        <v>14</v>
      </c>
      <c r="E107" s="3">
        <v>24.24</v>
      </c>
      <c r="F107" s="3">
        <v>24.37</v>
      </c>
      <c r="G107" s="3">
        <v>24.07</v>
      </c>
      <c r="H107">
        <f t="shared" si="3"/>
        <v>24.22666666666667</v>
      </c>
    </row>
    <row r="108" spans="1:8">
      <c r="A108" s="2" t="s">
        <v>32</v>
      </c>
      <c r="B108" s="2" t="s">
        <v>28</v>
      </c>
      <c r="C108" s="2" t="s">
        <v>18</v>
      </c>
      <c r="D108" s="2" t="s">
        <v>14</v>
      </c>
      <c r="E108" s="3">
        <v>23.38</v>
      </c>
      <c r="F108" s="3">
        <v>23.62</v>
      </c>
      <c r="G108" s="3">
        <v>23.18</v>
      </c>
      <c r="H108">
        <f t="shared" si="3"/>
        <v>23.393333333333334</v>
      </c>
    </row>
    <row r="109" spans="1:8">
      <c r="A109" s="2" t="s">
        <v>32</v>
      </c>
      <c r="B109" s="2" t="s">
        <v>28</v>
      </c>
      <c r="C109" s="2" t="s">
        <v>19</v>
      </c>
      <c r="D109" s="2" t="s">
        <v>14</v>
      </c>
      <c r="E109" s="3">
        <v>24.27</v>
      </c>
      <c r="F109" s="3">
        <v>24.14</v>
      </c>
      <c r="G109" s="3">
        <v>24.21</v>
      </c>
      <c r="H109">
        <f t="shared" si="3"/>
        <v>24.206666666666667</v>
      </c>
    </row>
    <row r="110" spans="1:8">
      <c r="A110" s="2" t="s">
        <v>32</v>
      </c>
      <c r="B110" s="2" t="s">
        <v>28</v>
      </c>
      <c r="C110" s="2" t="s">
        <v>20</v>
      </c>
      <c r="D110" s="2" t="s">
        <v>14</v>
      </c>
      <c r="E110" s="3">
        <v>27.48</v>
      </c>
      <c r="F110" s="3">
        <v>27.25</v>
      </c>
      <c r="G110" s="3">
        <v>27.33</v>
      </c>
      <c r="H110">
        <f t="shared" si="3"/>
        <v>27.353333333333335</v>
      </c>
    </row>
    <row r="111" spans="1:8">
      <c r="A111" s="2" t="s">
        <v>32</v>
      </c>
      <c r="B111" s="2" t="s">
        <v>28</v>
      </c>
      <c r="C111" s="2" t="s">
        <v>21</v>
      </c>
      <c r="D111" s="2" t="s">
        <v>14</v>
      </c>
      <c r="E111" s="3">
        <v>27.7</v>
      </c>
      <c r="F111" s="3">
        <v>27.49</v>
      </c>
      <c r="G111" s="3">
        <v>27.78</v>
      </c>
      <c r="H111">
        <f t="shared" si="3"/>
        <v>27.656666666666666</v>
      </c>
    </row>
    <row r="112" spans="1:8">
      <c r="A112" s="2" t="s">
        <v>33</v>
      </c>
      <c r="B112" s="2" t="s">
        <v>28</v>
      </c>
      <c r="C112" s="2" t="s">
        <v>10</v>
      </c>
      <c r="D112" s="2" t="s">
        <v>11</v>
      </c>
      <c r="E112" s="3">
        <v>18.850000000000001</v>
      </c>
      <c r="F112" s="3">
        <v>18.84</v>
      </c>
      <c r="G112" s="3">
        <v>19.010000000000002</v>
      </c>
      <c r="H112">
        <f t="shared" si="3"/>
        <v>18.900000000000002</v>
      </c>
    </row>
    <row r="113" spans="1:8">
      <c r="A113" s="2" t="s">
        <v>33</v>
      </c>
      <c r="B113" s="2" t="s">
        <v>28</v>
      </c>
      <c r="C113" s="2" t="s">
        <v>12</v>
      </c>
      <c r="D113" s="2" t="s">
        <v>11</v>
      </c>
      <c r="E113" s="3">
        <v>19.649999999999999</v>
      </c>
      <c r="F113" s="3">
        <v>19.73</v>
      </c>
      <c r="G113" s="3">
        <v>19.72</v>
      </c>
      <c r="H113">
        <f t="shared" si="3"/>
        <v>19.7</v>
      </c>
    </row>
    <row r="114" spans="1:8">
      <c r="A114" s="2" t="s">
        <v>33</v>
      </c>
      <c r="B114" s="2" t="s">
        <v>28</v>
      </c>
      <c r="C114" s="2" t="s">
        <v>13</v>
      </c>
      <c r="D114" s="2" t="s">
        <v>14</v>
      </c>
      <c r="E114" s="3">
        <v>25.2</v>
      </c>
      <c r="F114" s="3">
        <v>25.14</v>
      </c>
      <c r="G114" s="3">
        <v>25.26</v>
      </c>
      <c r="H114">
        <f t="shared" si="3"/>
        <v>25.200000000000003</v>
      </c>
    </row>
    <row r="115" spans="1:8">
      <c r="A115" s="2" t="s">
        <v>33</v>
      </c>
      <c r="B115" s="2" t="s">
        <v>28</v>
      </c>
      <c r="C115" s="2" t="s">
        <v>15</v>
      </c>
      <c r="D115" s="2" t="s">
        <v>14</v>
      </c>
      <c r="E115" s="3">
        <v>24.74</v>
      </c>
      <c r="F115" s="3">
        <v>24.77</v>
      </c>
      <c r="G115" s="3">
        <v>24.94</v>
      </c>
      <c r="H115">
        <f t="shared" si="3"/>
        <v>24.816666666666666</v>
      </c>
    </row>
    <row r="116" spans="1:8">
      <c r="A116" s="2" t="s">
        <v>33</v>
      </c>
      <c r="B116" s="2" t="s">
        <v>28</v>
      </c>
      <c r="C116" s="2" t="s">
        <v>16</v>
      </c>
      <c r="D116" s="2" t="s">
        <v>14</v>
      </c>
      <c r="E116" s="3">
        <v>27.05</v>
      </c>
      <c r="F116" s="3">
        <v>26.96</v>
      </c>
      <c r="G116" s="3">
        <v>27.17</v>
      </c>
      <c r="H116">
        <f t="shared" si="3"/>
        <v>27.060000000000002</v>
      </c>
    </row>
    <row r="117" spans="1:8">
      <c r="A117" s="2" t="s">
        <v>33</v>
      </c>
      <c r="B117" s="2" t="s">
        <v>28</v>
      </c>
      <c r="C117" s="2" t="s">
        <v>17</v>
      </c>
      <c r="D117" s="2" t="s">
        <v>14</v>
      </c>
      <c r="E117" s="3">
        <v>23.28</v>
      </c>
      <c r="F117" s="3">
        <v>23.01</v>
      </c>
      <c r="G117" s="3">
        <v>23.36</v>
      </c>
      <c r="H117">
        <f t="shared" si="3"/>
        <v>23.216666666666669</v>
      </c>
    </row>
    <row r="118" spans="1:8">
      <c r="A118" s="2" t="s">
        <v>33</v>
      </c>
      <c r="B118" s="2" t="s">
        <v>28</v>
      </c>
      <c r="C118" s="2" t="s">
        <v>18</v>
      </c>
      <c r="D118" s="2" t="s">
        <v>14</v>
      </c>
      <c r="E118" s="3">
        <v>22.4</v>
      </c>
      <c r="F118" s="3">
        <v>22.62</v>
      </c>
      <c r="G118" s="3">
        <v>22.34</v>
      </c>
      <c r="H118">
        <f t="shared" si="3"/>
        <v>22.453333333333333</v>
      </c>
    </row>
    <row r="119" spans="1:8">
      <c r="A119" s="2" t="s">
        <v>33</v>
      </c>
      <c r="B119" s="2" t="s">
        <v>28</v>
      </c>
      <c r="C119" s="2" t="s">
        <v>19</v>
      </c>
      <c r="D119" s="2" t="s">
        <v>14</v>
      </c>
      <c r="E119" s="3">
        <v>23.81</v>
      </c>
      <c r="F119" s="3">
        <v>23.68</v>
      </c>
      <c r="G119" s="3">
        <v>23.96</v>
      </c>
      <c r="H119">
        <f t="shared" si="3"/>
        <v>23.816666666666663</v>
      </c>
    </row>
    <row r="120" spans="1:8">
      <c r="A120" s="2" t="s">
        <v>33</v>
      </c>
      <c r="B120" s="2" t="s">
        <v>28</v>
      </c>
      <c r="C120" s="2" t="s">
        <v>20</v>
      </c>
      <c r="D120" s="2" t="s">
        <v>14</v>
      </c>
      <c r="E120" s="3">
        <v>27.56</v>
      </c>
      <c r="F120" s="3">
        <v>27.63</v>
      </c>
      <c r="G120" s="3">
        <v>27.9</v>
      </c>
      <c r="H120">
        <f t="shared" si="3"/>
        <v>27.696666666666669</v>
      </c>
    </row>
    <row r="121" spans="1:8">
      <c r="A121" s="2" t="s">
        <v>33</v>
      </c>
      <c r="B121" s="2" t="s">
        <v>28</v>
      </c>
      <c r="C121" s="2" t="s">
        <v>21</v>
      </c>
      <c r="D121" s="2" t="s">
        <v>14</v>
      </c>
      <c r="E121" s="3">
        <v>27.06</v>
      </c>
      <c r="F121" s="3">
        <v>27.12</v>
      </c>
      <c r="G121" s="3">
        <v>27.19</v>
      </c>
      <c r="H121">
        <f t="shared" si="3"/>
        <v>27.123333333333335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9C2E-3C60-4244-9C7D-7B38D39A623B}">
  <dimension ref="A1:M64"/>
  <sheetViews>
    <sheetView zoomScale="75" workbookViewId="0"/>
  </sheetViews>
  <sheetFormatPr defaultRowHeight="15"/>
  <cols>
    <col min="1" max="1" width="65.28515625" bestFit="1" customWidth="1"/>
    <col min="2" max="2" width="9.140625" bestFit="1" customWidth="1"/>
    <col min="3" max="3" width="9.5703125" bestFit="1" customWidth="1"/>
    <col min="4" max="4" width="7.85546875" bestFit="1" customWidth="1"/>
    <col min="5" max="5" width="14.28515625" bestFit="1" customWidth="1"/>
    <col min="6" max="6" width="6.28515625" bestFit="1" customWidth="1"/>
    <col min="7" max="7" width="9.140625" bestFit="1" customWidth="1"/>
    <col min="8" max="8" width="6.7109375" bestFit="1" customWidth="1"/>
    <col min="9" max="9" width="9" bestFit="1" customWidth="1"/>
    <col min="10" max="10" width="8.5703125" bestFit="1" customWidth="1"/>
    <col min="11" max="11" width="7.42578125" bestFit="1" customWidth="1"/>
    <col min="12" max="12" width="10.5703125" bestFit="1" customWidth="1"/>
    <col min="13" max="13" width="6.85546875" bestFit="1" customWidth="1"/>
  </cols>
  <sheetData>
    <row r="1" spans="1:13" ht="18.75">
      <c r="A1" s="5" t="s">
        <v>34</v>
      </c>
    </row>
    <row r="3" spans="1:13">
      <c r="A3" s="6" t="s">
        <v>35</v>
      </c>
    </row>
    <row r="4" spans="1:13">
      <c r="A4" s="7" t="s">
        <v>0</v>
      </c>
      <c r="B4" s="7" t="s">
        <v>1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7" t="s">
        <v>46</v>
      </c>
    </row>
    <row r="5" spans="1:13">
      <c r="A5" t="s">
        <v>8</v>
      </c>
      <c r="B5" t="s">
        <v>9</v>
      </c>
      <c r="C5" s="8">
        <f>AVERAGEIFS(Sheet1!$H$2:$H$121,Sheet1!$A$2:$A$121,$A5,Sheet1!$C$2:$C$121,"GAPDH")</f>
        <v>19.146666666666665</v>
      </c>
      <c r="D5" s="8">
        <f>AVERAGEIFS(Sheet1!$H$2:$H$121,Sheet1!$A$2:$A$121,$A5,Sheet1!$C$2:$C$121,"ACTB")</f>
        <v>19.783333333333335</v>
      </c>
      <c r="E5" s="8">
        <f>GEOMEAN(C5:D5)</f>
        <v>19.462396791990674</v>
      </c>
      <c r="F5" s="8">
        <f>AVERAGEIFS(Sheet1!$H$2:$H$121,Sheet1!$A$2:$A$121,$A5,Sheet1!$C$2:$C$121,"IL6")</f>
        <v>28.28</v>
      </c>
      <c r="G5" s="8">
        <f>AVERAGEIFS(Sheet1!$H$2:$H$121,Sheet1!$A$2:$A$121,$A5,Sheet1!$C$2:$C$121,"CXCL8")</f>
        <v>27.433333333333334</v>
      </c>
      <c r="H5" s="8">
        <f>AVERAGEIFS(Sheet1!$H$2:$H$121,Sheet1!$A$2:$A$121,$A5,Sheet1!$C$2:$C$121,"TNF")</f>
        <v>29.396666666666665</v>
      </c>
      <c r="I5" s="8">
        <f>AVERAGEIFS(Sheet1!$H$2:$H$121,Sheet1!$A$2:$A$121,$A5,Sheet1!$C$2:$C$121,"NFKB1")</f>
        <v>24.036666666666672</v>
      </c>
      <c r="J5" s="8">
        <f>AVERAGEIFS(Sheet1!$H$2:$H$121,Sheet1!$A$2:$A$121,$A5,Sheet1!$C$2:$C$121,"STAT3")</f>
        <v>23.74</v>
      </c>
      <c r="K5" s="8">
        <f>AVERAGEIFS(Sheet1!$H$2:$H$121,Sheet1!$A$2:$A$121,$A5,Sheet1!$C$2:$C$121,"MYC")</f>
        <v>24.66</v>
      </c>
      <c r="L5" s="8">
        <f>AVERAGEIFS(Sheet1!$H$2:$H$121,Sheet1!$A$2:$A$121,$A5,Sheet1!$C$2:$C$121,"CDKN1A")</f>
        <v>25.893333333333334</v>
      </c>
      <c r="M5" s="8">
        <f>AVERAGEIFS(Sheet1!$H$2:$H$121,Sheet1!$A$2:$A$121,$A5,Sheet1!$C$2:$C$121,"BAX")</f>
        <v>26.560000000000002</v>
      </c>
    </row>
    <row r="6" spans="1:13">
      <c r="A6" t="s">
        <v>22</v>
      </c>
      <c r="B6" t="s">
        <v>9</v>
      </c>
      <c r="C6" s="8">
        <f>AVERAGEIFS(Sheet1!$H$2:$H$121,Sheet1!$A$2:$A$121,$A6,Sheet1!$C$2:$C$121,"GAPDH")</f>
        <v>19.21</v>
      </c>
      <c r="D6" s="8">
        <f>AVERAGEIFS(Sheet1!$H$2:$H$121,Sheet1!$A$2:$A$121,$A6,Sheet1!$C$2:$C$121,"ACTB")</f>
        <v>20.099999999999998</v>
      </c>
      <c r="E6" s="8">
        <f t="shared" ref="E6:E16" si="0">GEOMEAN(C6:D6)</f>
        <v>19.649961832024001</v>
      </c>
      <c r="F6" s="8">
        <f>AVERAGEIFS(Sheet1!$H$2:$H$121,Sheet1!$A$2:$A$121,$A6,Sheet1!$C$2:$C$121,"IL6")</f>
        <v>28.073333333333334</v>
      </c>
      <c r="G6" s="8">
        <f>AVERAGEIFS(Sheet1!$H$2:$H$121,Sheet1!$A$2:$A$121,$A6,Sheet1!$C$2:$C$121,"CXCL8")</f>
        <v>27.2</v>
      </c>
      <c r="H6" s="8">
        <f>AVERAGEIFS(Sheet1!$H$2:$H$121,Sheet1!$A$2:$A$121,$A6,Sheet1!$C$2:$C$121,"TNF")</f>
        <v>29.166666666666668</v>
      </c>
      <c r="I6" s="8">
        <f>AVERAGEIFS(Sheet1!$H$2:$H$121,Sheet1!$A$2:$A$121,$A6,Sheet1!$C$2:$C$121,"NFKB1")</f>
        <v>23.923333333333332</v>
      </c>
      <c r="J6" s="8">
        <f>AVERAGEIFS(Sheet1!$H$2:$H$121,Sheet1!$A$2:$A$121,$A6,Sheet1!$C$2:$C$121,"STAT3")</f>
        <v>23.756666666666671</v>
      </c>
      <c r="K6" s="8">
        <f>AVERAGEIFS(Sheet1!$H$2:$H$121,Sheet1!$A$2:$A$121,$A6,Sheet1!$C$2:$C$121,"MYC")</f>
        <v>25.396666666666665</v>
      </c>
      <c r="L6" s="8">
        <f>AVERAGEIFS(Sheet1!$H$2:$H$121,Sheet1!$A$2:$A$121,$A6,Sheet1!$C$2:$C$121,"CDKN1A")</f>
        <v>25.819999999999997</v>
      </c>
      <c r="M6" s="8">
        <f>AVERAGEIFS(Sheet1!$H$2:$H$121,Sheet1!$A$2:$A$121,$A6,Sheet1!$C$2:$C$121,"BAX")</f>
        <v>26.886666666666667</v>
      </c>
    </row>
    <row r="7" spans="1:13">
      <c r="A7" t="s">
        <v>23</v>
      </c>
      <c r="B7" t="s">
        <v>9</v>
      </c>
      <c r="C7" s="8">
        <f>AVERAGEIFS(Sheet1!$H$2:$H$121,Sheet1!$A$2:$A$121,$A7,Sheet1!$C$2:$C$121,"GAPDH")</f>
        <v>18.53</v>
      </c>
      <c r="D7" s="8">
        <f>AVERAGEIFS(Sheet1!$H$2:$H$121,Sheet1!$A$2:$A$121,$A7,Sheet1!$C$2:$C$121,"ACTB")</f>
        <v>19.64</v>
      </c>
      <c r="E7" s="8">
        <f t="shared" si="0"/>
        <v>19.076928473944648</v>
      </c>
      <c r="F7" s="8">
        <f>AVERAGEIFS(Sheet1!$H$2:$H$121,Sheet1!$A$2:$A$121,$A7,Sheet1!$C$2:$C$121,"IL6")</f>
        <v>27.97666666666667</v>
      </c>
      <c r="G7" s="8">
        <f>AVERAGEIFS(Sheet1!$H$2:$H$121,Sheet1!$A$2:$A$121,$A7,Sheet1!$C$2:$C$121,"CXCL8")</f>
        <v>27.23</v>
      </c>
      <c r="H7" s="8">
        <f>AVERAGEIFS(Sheet1!$H$2:$H$121,Sheet1!$A$2:$A$121,$A7,Sheet1!$C$2:$C$121,"TNF")</f>
        <v>28.416666666666668</v>
      </c>
      <c r="I7" s="8">
        <f>AVERAGEIFS(Sheet1!$H$2:$H$121,Sheet1!$A$2:$A$121,$A7,Sheet1!$C$2:$C$121,"NFKB1")</f>
        <v>23.706666666666667</v>
      </c>
      <c r="J7" s="8">
        <f>AVERAGEIFS(Sheet1!$H$2:$H$121,Sheet1!$A$2:$A$121,$A7,Sheet1!$C$2:$C$121,"STAT3")</f>
        <v>23.459999999999997</v>
      </c>
      <c r="K7" s="8">
        <f>AVERAGEIFS(Sheet1!$H$2:$H$121,Sheet1!$A$2:$A$121,$A7,Sheet1!$C$2:$C$121,"MYC")</f>
        <v>24.553333333333331</v>
      </c>
      <c r="L7" s="8">
        <f>AVERAGEIFS(Sheet1!$H$2:$H$121,Sheet1!$A$2:$A$121,$A7,Sheet1!$C$2:$C$121,"CDKN1A")</f>
        <v>25.266666666666666</v>
      </c>
      <c r="M7" s="8">
        <f>AVERAGEIFS(Sheet1!$H$2:$H$121,Sheet1!$A$2:$A$121,$A7,Sheet1!$C$2:$C$121,"BAX")</f>
        <v>26.33</v>
      </c>
    </row>
    <row r="8" spans="1:13">
      <c r="A8" t="s">
        <v>24</v>
      </c>
      <c r="B8" t="s">
        <v>9</v>
      </c>
      <c r="C8" s="8">
        <f>AVERAGEIFS(Sheet1!$H$2:$H$121,Sheet1!$A$2:$A$121,$A8,Sheet1!$C$2:$C$121,"GAPDH")</f>
        <v>19.12</v>
      </c>
      <c r="D8" s="8">
        <f>AVERAGEIFS(Sheet1!$H$2:$H$121,Sheet1!$A$2:$A$121,$A8,Sheet1!$C$2:$C$121,"ACTB")</f>
        <v>19.963333333333335</v>
      </c>
      <c r="E8" s="8">
        <f t="shared" si="0"/>
        <v>19.537116812194512</v>
      </c>
      <c r="F8" s="8">
        <f>AVERAGEIFS(Sheet1!$H$2:$H$121,Sheet1!$A$2:$A$121,$A8,Sheet1!$C$2:$C$121,"IL6")</f>
        <v>28.416666666666668</v>
      </c>
      <c r="G8" s="8">
        <f>AVERAGEIFS(Sheet1!$H$2:$H$121,Sheet1!$A$2:$A$121,$A8,Sheet1!$C$2:$C$121,"CXCL8")</f>
        <v>27.66333333333333</v>
      </c>
      <c r="H8" s="8">
        <f>AVERAGEIFS(Sheet1!$H$2:$H$121,Sheet1!$A$2:$A$121,$A8,Sheet1!$C$2:$C$121,"TNF")</f>
        <v>28.343333333333334</v>
      </c>
      <c r="I8" s="8">
        <f>AVERAGEIFS(Sheet1!$H$2:$H$121,Sheet1!$A$2:$A$121,$A8,Sheet1!$C$2:$C$121,"NFKB1")</f>
        <v>23.900000000000002</v>
      </c>
      <c r="J8" s="8">
        <f>AVERAGEIFS(Sheet1!$H$2:$H$121,Sheet1!$A$2:$A$121,$A8,Sheet1!$C$2:$C$121,"STAT3")</f>
        <v>23.633333333333336</v>
      </c>
      <c r="K8" s="8">
        <f>AVERAGEIFS(Sheet1!$H$2:$H$121,Sheet1!$A$2:$A$121,$A8,Sheet1!$C$2:$C$121,"MYC")</f>
        <v>24.563333333333333</v>
      </c>
      <c r="L8" s="8">
        <f>AVERAGEIFS(Sheet1!$H$2:$H$121,Sheet1!$A$2:$A$121,$A8,Sheet1!$C$2:$C$121,"CDKN1A")</f>
        <v>25.613333333333333</v>
      </c>
      <c r="M8" s="8">
        <f>AVERAGEIFS(Sheet1!$H$2:$H$121,Sheet1!$A$2:$A$121,$A8,Sheet1!$C$2:$C$121,"BAX")</f>
        <v>27.189999999999998</v>
      </c>
    </row>
    <row r="9" spans="1:13">
      <c r="A9" t="s">
        <v>25</v>
      </c>
      <c r="B9" t="s">
        <v>9</v>
      </c>
      <c r="C9" s="8">
        <f>AVERAGEIFS(Sheet1!$H$2:$H$121,Sheet1!$A$2:$A$121,$A9,Sheet1!$C$2:$C$121,"GAPDH")</f>
        <v>19.283333333333335</v>
      </c>
      <c r="D9" s="8">
        <f>AVERAGEIFS(Sheet1!$H$2:$H$121,Sheet1!$A$2:$A$121,$A9,Sheet1!$C$2:$C$121,"ACTB")</f>
        <v>20.22</v>
      </c>
      <c r="E9" s="8">
        <f t="shared" si="0"/>
        <v>19.746113541656747</v>
      </c>
      <c r="F9" s="8">
        <f>AVERAGEIFS(Sheet1!$H$2:$H$121,Sheet1!$A$2:$A$121,$A9,Sheet1!$C$2:$C$121,"IL6")</f>
        <v>28.383333333333336</v>
      </c>
      <c r="G9" s="8">
        <f>AVERAGEIFS(Sheet1!$H$2:$H$121,Sheet1!$A$2:$A$121,$A9,Sheet1!$C$2:$C$121,"CXCL8")</f>
        <v>27.733333333333334</v>
      </c>
      <c r="H9" s="8">
        <f>AVERAGEIFS(Sheet1!$H$2:$H$121,Sheet1!$A$2:$A$121,$A9,Sheet1!$C$2:$C$121,"TNF")</f>
        <v>28.58</v>
      </c>
      <c r="I9" s="8">
        <f>AVERAGEIFS(Sheet1!$H$2:$H$121,Sheet1!$A$2:$A$121,$A9,Sheet1!$C$2:$C$121,"NFKB1")</f>
        <v>24.74666666666667</v>
      </c>
      <c r="J9" s="8">
        <f>AVERAGEIFS(Sheet1!$H$2:$H$121,Sheet1!$A$2:$A$121,$A9,Sheet1!$C$2:$C$121,"STAT3")</f>
        <v>24.179999999999996</v>
      </c>
      <c r="K9" s="8">
        <f>AVERAGEIFS(Sheet1!$H$2:$H$121,Sheet1!$A$2:$A$121,$A9,Sheet1!$C$2:$C$121,"MYC")</f>
        <v>25.936666666666667</v>
      </c>
      <c r="L9" s="8">
        <f>AVERAGEIFS(Sheet1!$H$2:$H$121,Sheet1!$A$2:$A$121,$A9,Sheet1!$C$2:$C$121,"CDKN1A")</f>
        <v>26.303333333333331</v>
      </c>
      <c r="M9" s="8">
        <f>AVERAGEIFS(Sheet1!$H$2:$H$121,Sheet1!$A$2:$A$121,$A9,Sheet1!$C$2:$C$121,"BAX")</f>
        <v>26.893333333333334</v>
      </c>
    </row>
    <row r="10" spans="1:13">
      <c r="A10" t="s">
        <v>26</v>
      </c>
      <c r="B10" t="s">
        <v>9</v>
      </c>
      <c r="C10" s="8">
        <f>AVERAGEIFS(Sheet1!$H$2:$H$121,Sheet1!$A$2:$A$121,$A10,Sheet1!$C$2:$C$121,"GAPDH")</f>
        <v>19.170000000000002</v>
      </c>
      <c r="D10" s="8">
        <f>AVERAGEIFS(Sheet1!$H$2:$H$121,Sheet1!$A$2:$A$121,$A10,Sheet1!$C$2:$C$121,"ACTB")</f>
        <v>20.13</v>
      </c>
      <c r="E10" s="8">
        <f t="shared" si="0"/>
        <v>19.644136529763788</v>
      </c>
      <c r="F10" s="8">
        <f>AVERAGEIFS(Sheet1!$H$2:$H$121,Sheet1!$A$2:$A$121,$A10,Sheet1!$C$2:$C$121,"IL6")</f>
        <v>29.113333333333333</v>
      </c>
      <c r="G10" s="8">
        <f>AVERAGEIFS(Sheet1!$H$2:$H$121,Sheet1!$A$2:$A$121,$A10,Sheet1!$C$2:$C$121,"CXCL8")</f>
        <v>27.736666666666668</v>
      </c>
      <c r="H10" s="8">
        <f>AVERAGEIFS(Sheet1!$H$2:$H$121,Sheet1!$A$2:$A$121,$A10,Sheet1!$C$2:$C$121,"TNF")</f>
        <v>28.553333333333331</v>
      </c>
      <c r="I10" s="8">
        <f>AVERAGEIFS(Sheet1!$H$2:$H$121,Sheet1!$A$2:$A$121,$A10,Sheet1!$C$2:$C$121,"NFKB1")</f>
        <v>24.033333333333331</v>
      </c>
      <c r="J10" s="8">
        <f>AVERAGEIFS(Sheet1!$H$2:$H$121,Sheet1!$A$2:$A$121,$A10,Sheet1!$C$2:$C$121,"STAT3")</f>
        <v>23.926666666666666</v>
      </c>
      <c r="K10" s="8">
        <f>AVERAGEIFS(Sheet1!$H$2:$H$121,Sheet1!$A$2:$A$121,$A10,Sheet1!$C$2:$C$121,"MYC")</f>
        <v>25.256666666666671</v>
      </c>
      <c r="L10" s="8">
        <f>AVERAGEIFS(Sheet1!$H$2:$H$121,Sheet1!$A$2:$A$121,$A10,Sheet1!$C$2:$C$121,"CDKN1A")</f>
        <v>25.7</v>
      </c>
      <c r="M10" s="8">
        <f>AVERAGEIFS(Sheet1!$H$2:$H$121,Sheet1!$A$2:$A$121,$A10,Sheet1!$C$2:$C$121,"BAX")</f>
        <v>26.343333333333334</v>
      </c>
    </row>
    <row r="11" spans="1:13">
      <c r="A11" t="s">
        <v>27</v>
      </c>
      <c r="B11" t="s">
        <v>28</v>
      </c>
      <c r="C11" s="8">
        <f>AVERAGEIFS(Sheet1!$H$2:$H$121,Sheet1!$A$2:$A$121,$A11,Sheet1!$C$2:$C$121,"GAPDH")</f>
        <v>19.376666666666665</v>
      </c>
      <c r="D11" s="8">
        <f>AVERAGEIFS(Sheet1!$H$2:$H$121,Sheet1!$A$2:$A$121,$A11,Sheet1!$C$2:$C$121,"ACTB")</f>
        <v>20.533333333333331</v>
      </c>
      <c r="E11" s="8">
        <f t="shared" si="0"/>
        <v>19.94661764699859</v>
      </c>
      <c r="F11" s="8">
        <f>AVERAGEIFS(Sheet1!$H$2:$H$121,Sheet1!$A$2:$A$121,$A11,Sheet1!$C$2:$C$121,"IL6")</f>
        <v>25.236666666666668</v>
      </c>
      <c r="G11" s="8">
        <f>AVERAGEIFS(Sheet1!$H$2:$H$121,Sheet1!$A$2:$A$121,$A11,Sheet1!$C$2:$C$121,"CXCL8")</f>
        <v>25.946666666666669</v>
      </c>
      <c r="H11" s="8">
        <f>AVERAGEIFS(Sheet1!$H$2:$H$121,Sheet1!$A$2:$A$121,$A11,Sheet1!$C$2:$C$121,"TNF")</f>
        <v>27.446666666666669</v>
      </c>
      <c r="I11" s="8">
        <f>AVERAGEIFS(Sheet1!$H$2:$H$121,Sheet1!$A$2:$A$121,$A11,Sheet1!$C$2:$C$121,"NFKB1")</f>
        <v>23.116666666666664</v>
      </c>
      <c r="J11" s="8">
        <f>AVERAGEIFS(Sheet1!$H$2:$H$121,Sheet1!$A$2:$A$121,$A11,Sheet1!$C$2:$C$121,"STAT3")</f>
        <v>22.856666666666669</v>
      </c>
      <c r="K11" s="8">
        <f>AVERAGEIFS(Sheet1!$H$2:$H$121,Sheet1!$A$2:$A$121,$A11,Sheet1!$C$2:$C$121,"MYC")</f>
        <v>24.303333333333331</v>
      </c>
      <c r="L11" s="8">
        <f>AVERAGEIFS(Sheet1!$H$2:$H$121,Sheet1!$A$2:$A$121,$A11,Sheet1!$C$2:$C$121,"CDKN1A")</f>
        <v>28</v>
      </c>
      <c r="M11" s="8">
        <f>AVERAGEIFS(Sheet1!$H$2:$H$121,Sheet1!$A$2:$A$121,$A11,Sheet1!$C$2:$C$121,"BAX")</f>
        <v>27.56</v>
      </c>
    </row>
    <row r="12" spans="1:13">
      <c r="A12" t="s">
        <v>29</v>
      </c>
      <c r="B12" t="s">
        <v>28</v>
      </c>
      <c r="C12" s="8">
        <f>AVERAGEIFS(Sheet1!$H$2:$H$121,Sheet1!$A$2:$A$121,$A12,Sheet1!$C$2:$C$121,"GAPDH")</f>
        <v>19.103333333333335</v>
      </c>
      <c r="D12" s="8">
        <f>AVERAGEIFS(Sheet1!$H$2:$H$121,Sheet1!$A$2:$A$121,$A12,Sheet1!$C$2:$C$121,"ACTB")</f>
        <v>19.783333333333335</v>
      </c>
      <c r="E12" s="8">
        <f t="shared" si="0"/>
        <v>19.440360364744045</v>
      </c>
      <c r="F12" s="8">
        <f>AVERAGEIFS(Sheet1!$H$2:$H$121,Sheet1!$A$2:$A$121,$A12,Sheet1!$C$2:$C$121,"IL6")</f>
        <v>25.173333333333336</v>
      </c>
      <c r="G12" s="8">
        <f>AVERAGEIFS(Sheet1!$H$2:$H$121,Sheet1!$A$2:$A$121,$A12,Sheet1!$C$2:$C$121,"CXCL8")</f>
        <v>25.38</v>
      </c>
      <c r="H12" s="8">
        <f>AVERAGEIFS(Sheet1!$H$2:$H$121,Sheet1!$A$2:$A$121,$A12,Sheet1!$C$2:$C$121,"TNF")</f>
        <v>27.466666666666669</v>
      </c>
      <c r="I12" s="8">
        <f>AVERAGEIFS(Sheet1!$H$2:$H$121,Sheet1!$A$2:$A$121,$A12,Sheet1!$C$2:$C$121,"NFKB1")</f>
        <v>23.710000000000004</v>
      </c>
      <c r="J12" s="8">
        <f>AVERAGEIFS(Sheet1!$H$2:$H$121,Sheet1!$A$2:$A$121,$A12,Sheet1!$C$2:$C$121,"STAT3")</f>
        <v>23.05</v>
      </c>
      <c r="K12" s="8">
        <f>AVERAGEIFS(Sheet1!$H$2:$H$121,Sheet1!$A$2:$A$121,$A12,Sheet1!$C$2:$C$121,"MYC")</f>
        <v>23.786666666666665</v>
      </c>
      <c r="L12" s="8">
        <f>AVERAGEIFS(Sheet1!$H$2:$H$121,Sheet1!$A$2:$A$121,$A12,Sheet1!$C$2:$C$121,"CDKN1A")</f>
        <v>27.95</v>
      </c>
      <c r="M12" s="8">
        <f>AVERAGEIFS(Sheet1!$H$2:$H$121,Sheet1!$A$2:$A$121,$A12,Sheet1!$C$2:$C$121,"BAX")</f>
        <v>28.263333333333332</v>
      </c>
    </row>
    <row r="13" spans="1:13">
      <c r="A13" t="s">
        <v>30</v>
      </c>
      <c r="B13" t="s">
        <v>28</v>
      </c>
      <c r="C13" s="8">
        <f>AVERAGEIFS(Sheet1!$H$2:$H$121,Sheet1!$A$2:$A$121,$A13,Sheet1!$C$2:$C$121,"GAPDH")</f>
        <v>19.076666666666664</v>
      </c>
      <c r="D13" s="8">
        <f>AVERAGEIFS(Sheet1!$H$2:$H$121,Sheet1!$A$2:$A$121,$A13,Sheet1!$C$2:$C$121,"ACTB")</f>
        <v>20.156666666666666</v>
      </c>
      <c r="E13" s="8">
        <f t="shared" si="0"/>
        <v>19.609232802715944</v>
      </c>
      <c r="F13" s="8">
        <f>AVERAGEIFS(Sheet1!$H$2:$H$121,Sheet1!$A$2:$A$121,$A13,Sheet1!$C$2:$C$121,"IL6")</f>
        <v>25.946666666666662</v>
      </c>
      <c r="G13" s="8">
        <f>AVERAGEIFS(Sheet1!$H$2:$H$121,Sheet1!$A$2:$A$121,$A13,Sheet1!$C$2:$C$121,"CXCL8")</f>
        <v>25.153333333333332</v>
      </c>
      <c r="H13" s="8">
        <f>AVERAGEIFS(Sheet1!$H$2:$H$121,Sheet1!$A$2:$A$121,$A13,Sheet1!$C$2:$C$121,"TNF")</f>
        <v>28.143333333333334</v>
      </c>
      <c r="I13" s="8">
        <f>AVERAGEIFS(Sheet1!$H$2:$H$121,Sheet1!$A$2:$A$121,$A13,Sheet1!$C$2:$C$121,"NFKB1")</f>
        <v>23.689999999999998</v>
      </c>
      <c r="J13" s="8">
        <f>AVERAGEIFS(Sheet1!$H$2:$H$121,Sheet1!$A$2:$A$121,$A13,Sheet1!$C$2:$C$121,"STAT3")</f>
        <v>23.373333333333331</v>
      </c>
      <c r="K13" s="8">
        <f>AVERAGEIFS(Sheet1!$H$2:$H$121,Sheet1!$A$2:$A$121,$A13,Sheet1!$C$2:$C$121,"MYC")</f>
        <v>24.276666666666671</v>
      </c>
      <c r="L13" s="8">
        <f>AVERAGEIFS(Sheet1!$H$2:$H$121,Sheet1!$A$2:$A$121,$A13,Sheet1!$C$2:$C$121,"CDKN1A")</f>
        <v>27.400000000000002</v>
      </c>
      <c r="M13" s="8">
        <f>AVERAGEIFS(Sheet1!$H$2:$H$121,Sheet1!$A$2:$A$121,$A13,Sheet1!$C$2:$C$121,"BAX")</f>
        <v>28.41</v>
      </c>
    </row>
    <row r="14" spans="1:13">
      <c r="A14" t="s">
        <v>31</v>
      </c>
      <c r="B14" t="s">
        <v>28</v>
      </c>
      <c r="C14" s="8">
        <f>AVERAGEIFS(Sheet1!$H$2:$H$121,Sheet1!$A$2:$A$121,$A14,Sheet1!$C$2:$C$121,"GAPDH")</f>
        <v>18.900000000000002</v>
      </c>
      <c r="D14" s="8">
        <f>AVERAGEIFS(Sheet1!$H$2:$H$121,Sheet1!$A$2:$A$121,$A14,Sheet1!$C$2:$C$121,"ACTB")</f>
        <v>19.97666666666667</v>
      </c>
      <c r="E14" s="8">
        <f t="shared" si="0"/>
        <v>19.430877489192302</v>
      </c>
      <c r="F14" s="8">
        <f>AVERAGEIFS(Sheet1!$H$2:$H$121,Sheet1!$A$2:$A$121,$A14,Sheet1!$C$2:$C$121,"IL6")</f>
        <v>24.993333333333336</v>
      </c>
      <c r="G14" s="8">
        <f>AVERAGEIFS(Sheet1!$H$2:$H$121,Sheet1!$A$2:$A$121,$A14,Sheet1!$C$2:$C$121,"CXCL8")</f>
        <v>25.503333333333334</v>
      </c>
      <c r="H14" s="8">
        <f>AVERAGEIFS(Sheet1!$H$2:$H$121,Sheet1!$A$2:$A$121,$A14,Sheet1!$C$2:$C$121,"TNF")</f>
        <v>27.703333333333333</v>
      </c>
      <c r="I14" s="8">
        <f>AVERAGEIFS(Sheet1!$H$2:$H$121,Sheet1!$A$2:$A$121,$A14,Sheet1!$C$2:$C$121,"NFKB1")</f>
        <v>24.066666666666663</v>
      </c>
      <c r="J14" s="8">
        <f>AVERAGEIFS(Sheet1!$H$2:$H$121,Sheet1!$A$2:$A$121,$A14,Sheet1!$C$2:$C$121,"STAT3")</f>
        <v>23.446666666666669</v>
      </c>
      <c r="K14" s="8">
        <f>AVERAGEIFS(Sheet1!$H$2:$H$121,Sheet1!$A$2:$A$121,$A14,Sheet1!$C$2:$C$121,"MYC")</f>
        <v>23.849999999999998</v>
      </c>
      <c r="L14" s="8">
        <f>AVERAGEIFS(Sheet1!$H$2:$H$121,Sheet1!$A$2:$A$121,$A14,Sheet1!$C$2:$C$121,"CDKN1A")</f>
        <v>26.926666666666666</v>
      </c>
      <c r="M14" s="8">
        <f>AVERAGEIFS(Sheet1!$H$2:$H$121,Sheet1!$A$2:$A$121,$A14,Sheet1!$C$2:$C$121,"BAX")</f>
        <v>28.113333333333333</v>
      </c>
    </row>
    <row r="15" spans="1:13">
      <c r="A15" t="s">
        <v>32</v>
      </c>
      <c r="B15" t="s">
        <v>28</v>
      </c>
      <c r="C15" s="8">
        <f>AVERAGEIFS(Sheet1!$H$2:$H$121,Sheet1!$A$2:$A$121,$A15,Sheet1!$C$2:$C$121,"GAPDH")</f>
        <v>19.136666666666667</v>
      </c>
      <c r="D15" s="8">
        <f>AVERAGEIFS(Sheet1!$H$2:$H$121,Sheet1!$A$2:$A$121,$A15,Sheet1!$C$2:$C$121,"ACTB")</f>
        <v>20.34</v>
      </c>
      <c r="E15" s="8">
        <f t="shared" si="0"/>
        <v>19.729161158042174</v>
      </c>
      <c r="F15" s="8">
        <f>AVERAGEIFS(Sheet1!$H$2:$H$121,Sheet1!$A$2:$A$121,$A15,Sheet1!$C$2:$C$121,"IL6")</f>
        <v>25.296666666666667</v>
      </c>
      <c r="G15" s="8">
        <f>AVERAGEIFS(Sheet1!$H$2:$H$121,Sheet1!$A$2:$A$121,$A15,Sheet1!$C$2:$C$121,"CXCL8")</f>
        <v>25.826666666666664</v>
      </c>
      <c r="H15" s="8">
        <f>AVERAGEIFS(Sheet1!$H$2:$H$121,Sheet1!$A$2:$A$121,$A15,Sheet1!$C$2:$C$121,"TNF")</f>
        <v>27.533333333333331</v>
      </c>
      <c r="I15" s="8">
        <f>AVERAGEIFS(Sheet1!$H$2:$H$121,Sheet1!$A$2:$A$121,$A15,Sheet1!$C$2:$C$121,"NFKB1")</f>
        <v>24.22666666666667</v>
      </c>
      <c r="J15" s="8">
        <f>AVERAGEIFS(Sheet1!$H$2:$H$121,Sheet1!$A$2:$A$121,$A15,Sheet1!$C$2:$C$121,"STAT3")</f>
        <v>23.393333333333334</v>
      </c>
      <c r="K15" s="8">
        <f>AVERAGEIFS(Sheet1!$H$2:$H$121,Sheet1!$A$2:$A$121,$A15,Sheet1!$C$2:$C$121,"MYC")</f>
        <v>24.206666666666667</v>
      </c>
      <c r="L15" s="8">
        <f>AVERAGEIFS(Sheet1!$H$2:$H$121,Sheet1!$A$2:$A$121,$A15,Sheet1!$C$2:$C$121,"CDKN1A")</f>
        <v>27.353333333333335</v>
      </c>
      <c r="M15" s="8">
        <f>AVERAGEIFS(Sheet1!$H$2:$H$121,Sheet1!$A$2:$A$121,$A15,Sheet1!$C$2:$C$121,"BAX")</f>
        <v>27.656666666666666</v>
      </c>
    </row>
    <row r="16" spans="1:13">
      <c r="A16" t="s">
        <v>33</v>
      </c>
      <c r="B16" t="s">
        <v>28</v>
      </c>
      <c r="C16" s="8">
        <f>AVERAGEIFS(Sheet1!$H$2:$H$121,Sheet1!$A$2:$A$121,$A16,Sheet1!$C$2:$C$121,"GAPDH")</f>
        <v>18.900000000000002</v>
      </c>
      <c r="D16" s="8">
        <f>AVERAGEIFS(Sheet1!$H$2:$H$121,Sheet1!$A$2:$A$121,$A16,Sheet1!$C$2:$C$121,"ACTB")</f>
        <v>19.7</v>
      </c>
      <c r="E16" s="8">
        <f t="shared" si="0"/>
        <v>19.295854477063202</v>
      </c>
      <c r="F16" s="8">
        <f>AVERAGEIFS(Sheet1!$H$2:$H$121,Sheet1!$A$2:$A$121,$A16,Sheet1!$C$2:$C$121,"IL6")</f>
        <v>25.200000000000003</v>
      </c>
      <c r="G16" s="8">
        <f>AVERAGEIFS(Sheet1!$H$2:$H$121,Sheet1!$A$2:$A$121,$A16,Sheet1!$C$2:$C$121,"CXCL8")</f>
        <v>24.816666666666666</v>
      </c>
      <c r="H16" s="8">
        <f>AVERAGEIFS(Sheet1!$H$2:$H$121,Sheet1!$A$2:$A$121,$A16,Sheet1!$C$2:$C$121,"TNF")</f>
        <v>27.060000000000002</v>
      </c>
      <c r="I16" s="8">
        <f>AVERAGEIFS(Sheet1!$H$2:$H$121,Sheet1!$A$2:$A$121,$A16,Sheet1!$C$2:$C$121,"NFKB1")</f>
        <v>23.216666666666669</v>
      </c>
      <c r="J16" s="8">
        <f>AVERAGEIFS(Sheet1!$H$2:$H$121,Sheet1!$A$2:$A$121,$A16,Sheet1!$C$2:$C$121,"STAT3")</f>
        <v>22.453333333333333</v>
      </c>
      <c r="K16" s="8">
        <f>AVERAGEIFS(Sheet1!$H$2:$H$121,Sheet1!$A$2:$A$121,$A16,Sheet1!$C$2:$C$121,"MYC")</f>
        <v>23.816666666666663</v>
      </c>
      <c r="L16" s="8">
        <f>AVERAGEIFS(Sheet1!$H$2:$H$121,Sheet1!$A$2:$A$121,$A16,Sheet1!$C$2:$C$121,"CDKN1A")</f>
        <v>27.696666666666669</v>
      </c>
      <c r="M16" s="8">
        <f>AVERAGEIFS(Sheet1!$H$2:$H$121,Sheet1!$A$2:$A$121,$A16,Sheet1!$C$2:$C$121,"BAX")</f>
        <v>27.123333333333335</v>
      </c>
    </row>
    <row r="18" spans="1:10">
      <c r="A18" s="6" t="s">
        <v>47</v>
      </c>
    </row>
    <row r="19" spans="1:10">
      <c r="A19" s="7" t="s">
        <v>0</v>
      </c>
      <c r="B19" s="7" t="s">
        <v>1</v>
      </c>
      <c r="C19" s="7" t="s">
        <v>13</v>
      </c>
      <c r="D19" s="7" t="s">
        <v>15</v>
      </c>
      <c r="E19" s="7" t="s">
        <v>16</v>
      </c>
      <c r="F19" s="7" t="s">
        <v>17</v>
      </c>
      <c r="G19" s="7" t="s">
        <v>18</v>
      </c>
      <c r="H19" s="7" t="s">
        <v>19</v>
      </c>
      <c r="I19" s="7" t="s">
        <v>20</v>
      </c>
      <c r="J19" s="7" t="s">
        <v>21</v>
      </c>
    </row>
    <row r="20" spans="1:10">
      <c r="A20" t="str">
        <f>A5</f>
        <v>CTRL_1</v>
      </c>
      <c r="B20" t="str">
        <f>B5</f>
        <v>Control</v>
      </c>
      <c r="C20" s="8">
        <f t="shared" ref="C20:J20" si="1">F5-$E5</f>
        <v>8.8176032080093272</v>
      </c>
      <c r="D20" s="8">
        <f t="shared" si="1"/>
        <v>7.9709365413426596</v>
      </c>
      <c r="E20" s="8">
        <f t="shared" si="1"/>
        <v>9.9342698746759908</v>
      </c>
      <c r="F20" s="8">
        <f t="shared" si="1"/>
        <v>4.5742698746759984</v>
      </c>
      <c r="G20" s="8">
        <f t="shared" si="1"/>
        <v>4.2776032080093245</v>
      </c>
      <c r="H20" s="8">
        <f t="shared" si="1"/>
        <v>5.1976032080093262</v>
      </c>
      <c r="I20" s="8">
        <f t="shared" si="1"/>
        <v>6.4309365413426605</v>
      </c>
      <c r="J20" s="8">
        <f t="shared" si="1"/>
        <v>7.0976032080093283</v>
      </c>
    </row>
    <row r="21" spans="1:10">
      <c r="A21" t="str">
        <f t="shared" ref="A21:B21" si="2">A6</f>
        <v>CTRL_2</v>
      </c>
      <c r="B21" t="str">
        <f t="shared" si="2"/>
        <v>Control</v>
      </c>
      <c r="C21" s="8">
        <f t="shared" ref="C21:J21" si="3">F6-$E6</f>
        <v>8.4233715013093331</v>
      </c>
      <c r="D21" s="8">
        <f t="shared" si="3"/>
        <v>7.5500381679759982</v>
      </c>
      <c r="E21" s="8">
        <f t="shared" si="3"/>
        <v>9.5167048346426668</v>
      </c>
      <c r="F21" s="8">
        <f t="shared" si="3"/>
        <v>4.273371501309331</v>
      </c>
      <c r="G21" s="8">
        <f t="shared" si="3"/>
        <v>4.1067048346426702</v>
      </c>
      <c r="H21" s="8">
        <f t="shared" si="3"/>
        <v>5.7467048346426637</v>
      </c>
      <c r="I21" s="8">
        <f t="shared" si="3"/>
        <v>6.1700381679759957</v>
      </c>
      <c r="J21" s="8">
        <f t="shared" si="3"/>
        <v>7.2367048346426657</v>
      </c>
    </row>
    <row r="22" spans="1:10">
      <c r="A22" t="str">
        <f t="shared" ref="A22:B22" si="4">A7</f>
        <v>CTRL_3</v>
      </c>
      <c r="B22" t="str">
        <f t="shared" si="4"/>
        <v>Control</v>
      </c>
      <c r="C22" s="8">
        <f t="shared" ref="C22:J22" si="5">F7-$E7</f>
        <v>8.8997381927220225</v>
      </c>
      <c r="D22" s="8">
        <f t="shared" si="5"/>
        <v>8.1530715260553528</v>
      </c>
      <c r="E22" s="8">
        <f t="shared" si="5"/>
        <v>9.3397381927220202</v>
      </c>
      <c r="F22" s="8">
        <f t="shared" si="5"/>
        <v>4.6297381927220194</v>
      </c>
      <c r="G22" s="8">
        <f t="shared" si="5"/>
        <v>4.3830715260553497</v>
      </c>
      <c r="H22" s="8">
        <f t="shared" si="5"/>
        <v>5.4764048593886834</v>
      </c>
      <c r="I22" s="8">
        <f t="shared" si="5"/>
        <v>6.1897381927220181</v>
      </c>
      <c r="J22" s="8">
        <f t="shared" si="5"/>
        <v>7.2530715260553507</v>
      </c>
    </row>
    <row r="23" spans="1:10">
      <c r="A23" t="str">
        <f t="shared" ref="A23:B23" si="6">A8</f>
        <v>CTRL_4</v>
      </c>
      <c r="B23" t="str">
        <f t="shared" si="6"/>
        <v>Control</v>
      </c>
      <c r="C23" s="8">
        <f t="shared" ref="C23:J23" si="7">F8-$E8</f>
        <v>8.8795498544721561</v>
      </c>
      <c r="D23" s="8">
        <f t="shared" si="7"/>
        <v>8.1262165211388186</v>
      </c>
      <c r="E23" s="8">
        <f t="shared" si="7"/>
        <v>8.8062165211388219</v>
      </c>
      <c r="F23" s="8">
        <f t="shared" si="7"/>
        <v>4.3628831878054903</v>
      </c>
      <c r="G23" s="8">
        <f t="shared" si="7"/>
        <v>4.0962165211388246</v>
      </c>
      <c r="H23" s="8">
        <f t="shared" si="7"/>
        <v>5.0262165211388208</v>
      </c>
      <c r="I23" s="8">
        <f t="shared" si="7"/>
        <v>6.0762165211388215</v>
      </c>
      <c r="J23" s="8">
        <f t="shared" si="7"/>
        <v>7.6528831878054859</v>
      </c>
    </row>
    <row r="24" spans="1:10">
      <c r="A24" t="str">
        <f t="shared" ref="A24:B24" si="8">A9</f>
        <v>CTRL_5</v>
      </c>
      <c r="B24" t="str">
        <f t="shared" si="8"/>
        <v>Control</v>
      </c>
      <c r="C24" s="8">
        <f t="shared" ref="C24:J24" si="9">F9-$E9</f>
        <v>8.6372197916765892</v>
      </c>
      <c r="D24" s="8">
        <f t="shared" si="9"/>
        <v>7.987219791676587</v>
      </c>
      <c r="E24" s="8">
        <f t="shared" si="9"/>
        <v>8.833886458343251</v>
      </c>
      <c r="F24" s="8">
        <f t="shared" si="9"/>
        <v>5.0005531250099224</v>
      </c>
      <c r="G24" s="8">
        <f t="shared" si="9"/>
        <v>4.4338864583432489</v>
      </c>
      <c r="H24" s="8">
        <f t="shared" si="9"/>
        <v>6.1905531250099202</v>
      </c>
      <c r="I24" s="8">
        <f t="shared" si="9"/>
        <v>6.5572197916765838</v>
      </c>
      <c r="J24" s="8">
        <f t="shared" si="9"/>
        <v>7.1472197916765872</v>
      </c>
    </row>
    <row r="25" spans="1:10">
      <c r="A25" t="str">
        <f t="shared" ref="A25:B25" si="10">A10</f>
        <v>CTRL_6</v>
      </c>
      <c r="B25" t="str">
        <f t="shared" si="10"/>
        <v>Control</v>
      </c>
      <c r="C25" s="8">
        <f t="shared" ref="C25:J25" si="11">F10-$E10</f>
        <v>9.4691968035695453</v>
      </c>
      <c r="D25" s="8">
        <f t="shared" si="11"/>
        <v>8.0925301369028801</v>
      </c>
      <c r="E25" s="8">
        <f t="shared" si="11"/>
        <v>8.909196803569543</v>
      </c>
      <c r="F25" s="8">
        <f t="shared" si="11"/>
        <v>4.3891968035695434</v>
      </c>
      <c r="G25" s="8">
        <f t="shared" si="11"/>
        <v>4.2825301369028779</v>
      </c>
      <c r="H25" s="8">
        <f t="shared" si="11"/>
        <v>5.6125301369028833</v>
      </c>
      <c r="I25" s="8">
        <f t="shared" si="11"/>
        <v>6.0558634702362113</v>
      </c>
      <c r="J25" s="8">
        <f t="shared" si="11"/>
        <v>6.6991968035695457</v>
      </c>
    </row>
    <row r="26" spans="1:10">
      <c r="A26" t="str">
        <f t="shared" ref="A26:B26" si="12">A11</f>
        <v>TRT_1</v>
      </c>
      <c r="B26" t="str">
        <f t="shared" si="12"/>
        <v>Treatment</v>
      </c>
      <c r="C26" s="8">
        <f t="shared" ref="C26:J26" si="13">F11-$E11</f>
        <v>5.2900490196680785</v>
      </c>
      <c r="D26" s="8">
        <f t="shared" si="13"/>
        <v>6.0000490196680794</v>
      </c>
      <c r="E26" s="8">
        <f t="shared" si="13"/>
        <v>7.5000490196680794</v>
      </c>
      <c r="F26" s="8">
        <f t="shared" si="13"/>
        <v>3.170049019668074</v>
      </c>
      <c r="G26" s="8">
        <f t="shared" si="13"/>
        <v>2.9100490196680795</v>
      </c>
      <c r="H26" s="8">
        <f t="shared" si="13"/>
        <v>4.3567156863347414</v>
      </c>
      <c r="I26" s="8">
        <f t="shared" si="13"/>
        <v>8.0533823530014104</v>
      </c>
      <c r="J26" s="8">
        <f t="shared" si="13"/>
        <v>7.6133823530014091</v>
      </c>
    </row>
    <row r="27" spans="1:10">
      <c r="A27" t="str">
        <f t="shared" ref="A27:B27" si="14">A12</f>
        <v>TRT_2</v>
      </c>
      <c r="B27" t="str">
        <f t="shared" si="14"/>
        <v>Treatment</v>
      </c>
      <c r="C27" s="8">
        <f t="shared" ref="C27:J27" si="15">F12-$E12</f>
        <v>5.7329729685892907</v>
      </c>
      <c r="D27" s="8">
        <f t="shared" si="15"/>
        <v>5.9396396352559542</v>
      </c>
      <c r="E27" s="8">
        <f t="shared" si="15"/>
        <v>8.0263063019226237</v>
      </c>
      <c r="F27" s="8">
        <f t="shared" si="15"/>
        <v>4.2696396352559596</v>
      </c>
      <c r="G27" s="8">
        <f t="shared" si="15"/>
        <v>3.6096396352559559</v>
      </c>
      <c r="H27" s="8">
        <f t="shared" si="15"/>
        <v>4.3463063019226205</v>
      </c>
      <c r="I27" s="8">
        <f t="shared" si="15"/>
        <v>8.5096396352559545</v>
      </c>
      <c r="J27" s="8">
        <f t="shared" si="15"/>
        <v>8.822972968589287</v>
      </c>
    </row>
    <row r="28" spans="1:10">
      <c r="A28" t="str">
        <f t="shared" ref="A28:B28" si="16">A13</f>
        <v>TRT_3</v>
      </c>
      <c r="B28" t="str">
        <f t="shared" si="16"/>
        <v>Treatment</v>
      </c>
      <c r="C28" s="8">
        <f t="shared" ref="C28:J28" si="17">F13-$E13</f>
        <v>6.3374338639507179</v>
      </c>
      <c r="D28" s="8">
        <f t="shared" si="17"/>
        <v>5.5441005306173885</v>
      </c>
      <c r="E28" s="8">
        <f t="shared" si="17"/>
        <v>8.5341005306173905</v>
      </c>
      <c r="F28" s="8">
        <f t="shared" si="17"/>
        <v>4.0807671972840538</v>
      </c>
      <c r="G28" s="8">
        <f t="shared" si="17"/>
        <v>3.7641005306173874</v>
      </c>
      <c r="H28" s="8">
        <f t="shared" si="17"/>
        <v>4.6674338639507269</v>
      </c>
      <c r="I28" s="8">
        <f t="shared" si="17"/>
        <v>7.7907671972840582</v>
      </c>
      <c r="J28" s="8">
        <f t="shared" si="17"/>
        <v>8.8007671972840562</v>
      </c>
    </row>
    <row r="29" spans="1:10">
      <c r="A29" t="str">
        <f t="shared" ref="A29:B29" si="18">A14</f>
        <v>TRT_4</v>
      </c>
      <c r="B29" t="str">
        <f t="shared" si="18"/>
        <v>Treatment</v>
      </c>
      <c r="C29" s="8">
        <f t="shared" ref="C29:J29" si="19">F14-$E14</f>
        <v>5.5624558441410343</v>
      </c>
      <c r="D29" s="8">
        <f t="shared" si="19"/>
        <v>6.0724558441410323</v>
      </c>
      <c r="E29" s="8">
        <f t="shared" si="19"/>
        <v>8.2724558441410316</v>
      </c>
      <c r="F29" s="8">
        <f t="shared" si="19"/>
        <v>4.6357891774743614</v>
      </c>
      <c r="G29" s="8">
        <f t="shared" si="19"/>
        <v>4.0157891774743675</v>
      </c>
      <c r="H29" s="8">
        <f t="shared" si="19"/>
        <v>4.4191225108076964</v>
      </c>
      <c r="I29" s="8">
        <f t="shared" si="19"/>
        <v>7.4957891774743644</v>
      </c>
      <c r="J29" s="8">
        <f t="shared" si="19"/>
        <v>8.6824558441410318</v>
      </c>
    </row>
    <row r="30" spans="1:10">
      <c r="A30" t="str">
        <f t="shared" ref="A30:B30" si="20">A15</f>
        <v>TRT_5</v>
      </c>
      <c r="B30" t="str">
        <f t="shared" si="20"/>
        <v>Treatment</v>
      </c>
      <c r="C30" s="8">
        <f t="shared" ref="C30:J30" si="21">F15-$E15</f>
        <v>5.5675055086244924</v>
      </c>
      <c r="D30" s="8">
        <f t="shared" si="21"/>
        <v>6.09750550862449</v>
      </c>
      <c r="E30" s="8">
        <f t="shared" si="21"/>
        <v>7.804172175291157</v>
      </c>
      <c r="F30" s="8">
        <f t="shared" si="21"/>
        <v>4.4975055086244957</v>
      </c>
      <c r="G30" s="8">
        <f t="shared" si="21"/>
        <v>3.66417217529116</v>
      </c>
      <c r="H30" s="8">
        <f t="shared" si="21"/>
        <v>4.4775055086244926</v>
      </c>
      <c r="I30" s="8">
        <f t="shared" si="21"/>
        <v>7.6241721752911609</v>
      </c>
      <c r="J30" s="8">
        <f t="shared" si="21"/>
        <v>7.9275055086244919</v>
      </c>
    </row>
    <row r="31" spans="1:10">
      <c r="A31" t="str">
        <f t="shared" ref="A31:B31" si="22">A16</f>
        <v>TRT_6</v>
      </c>
      <c r="B31" t="str">
        <f t="shared" si="22"/>
        <v>Treatment</v>
      </c>
      <c r="C31" s="8">
        <f t="shared" ref="C31:J31" si="23">F16-$E16</f>
        <v>5.9041455229368012</v>
      </c>
      <c r="D31" s="8">
        <f t="shared" si="23"/>
        <v>5.5208121896034648</v>
      </c>
      <c r="E31" s="8">
        <f t="shared" si="23"/>
        <v>7.7641455229368006</v>
      </c>
      <c r="F31" s="8">
        <f t="shared" si="23"/>
        <v>3.9208121896034669</v>
      </c>
      <c r="G31" s="8">
        <f t="shared" si="23"/>
        <v>3.1574788562701315</v>
      </c>
      <c r="H31" s="8">
        <f t="shared" si="23"/>
        <v>4.5208121896034612</v>
      </c>
      <c r="I31" s="8">
        <f t="shared" si="23"/>
        <v>8.4008121896034673</v>
      </c>
      <c r="J31" s="8">
        <f t="shared" si="23"/>
        <v>7.8274788562701332</v>
      </c>
    </row>
    <row r="32" spans="1:10">
      <c r="C32" s="8"/>
      <c r="D32" s="8"/>
      <c r="E32" s="8"/>
      <c r="F32" s="8"/>
      <c r="G32" s="8"/>
      <c r="H32" s="8"/>
      <c r="I32" s="8"/>
      <c r="J32" s="8"/>
    </row>
    <row r="33" spans="1:10">
      <c r="A33" s="4" t="s">
        <v>48</v>
      </c>
      <c r="C33" s="8">
        <f t="shared" ref="C33:J33" si="24">AVERAGEIF($B$20:$B$31,"Control",C$20:C$31)</f>
        <v>8.8544465586264938</v>
      </c>
      <c r="D33" s="8">
        <f t="shared" si="24"/>
        <v>7.9800021141820494</v>
      </c>
      <c r="E33" s="8">
        <f t="shared" si="24"/>
        <v>9.2233354475153835</v>
      </c>
      <c r="F33" s="8">
        <f t="shared" si="24"/>
        <v>4.5383354475153839</v>
      </c>
      <c r="G33" s="8">
        <f t="shared" si="24"/>
        <v>4.2633354475153826</v>
      </c>
      <c r="H33" s="8">
        <f t="shared" si="24"/>
        <v>5.5416687808487168</v>
      </c>
      <c r="I33" s="8">
        <f t="shared" si="24"/>
        <v>6.2466687808487151</v>
      </c>
      <c r="J33" s="8">
        <f t="shared" si="24"/>
        <v>7.18111322529316</v>
      </c>
    </row>
    <row r="36" spans="1:10">
      <c r="A36" s="6" t="s">
        <v>49</v>
      </c>
    </row>
    <row r="37" spans="1:10">
      <c r="A37" s="7" t="s">
        <v>0</v>
      </c>
      <c r="B37" s="7" t="s">
        <v>1</v>
      </c>
      <c r="C37" s="7" t="s">
        <v>13</v>
      </c>
      <c r="D37" s="7" t="s">
        <v>15</v>
      </c>
      <c r="E37" s="7" t="s">
        <v>16</v>
      </c>
      <c r="F37" s="7" t="s">
        <v>17</v>
      </c>
      <c r="G37" s="7" t="s">
        <v>18</v>
      </c>
      <c r="H37" s="7" t="s">
        <v>19</v>
      </c>
      <c r="I37" s="7" t="s">
        <v>20</v>
      </c>
      <c r="J37" s="7" t="s">
        <v>21</v>
      </c>
    </row>
    <row r="38" spans="1:10">
      <c r="A38" t="str">
        <f>A20</f>
        <v>CTRL_1</v>
      </c>
      <c r="B38" t="str">
        <f>B20</f>
        <v>Control</v>
      </c>
      <c r="C38" s="8">
        <f>2^-(C20-$C$33)</f>
        <v>1.0258667495719123</v>
      </c>
      <c r="D38" s="8">
        <f>2^-(D20-$D$33)</f>
        <v>1.0063035605942015</v>
      </c>
      <c r="E38" s="8">
        <f>2^-(E20-$E$33)</f>
        <v>0.61092431771100142</v>
      </c>
      <c r="F38" s="8">
        <f>2^-(F20-$F$33)</f>
        <v>0.97539979402945454</v>
      </c>
      <c r="G38" s="8">
        <f>2^-(G20-$G$33)</f>
        <v>0.99015908389556928</v>
      </c>
      <c r="H38" s="8">
        <f>2^-(H20-$H$33)</f>
        <v>1.2693285777599748</v>
      </c>
      <c r="I38" s="8">
        <f>2^-(I20-$I$33)</f>
        <v>0.8800956549111707</v>
      </c>
      <c r="J38" s="8">
        <f>2^-(J20-$J$33)</f>
        <v>1.0595928526120648</v>
      </c>
    </row>
    <row r="39" spans="1:10">
      <c r="A39" t="str">
        <f t="shared" ref="A39:B39" si="25">A21</f>
        <v>CTRL_2</v>
      </c>
      <c r="B39" t="str">
        <f t="shared" si="25"/>
        <v>Control</v>
      </c>
      <c r="C39" s="8">
        <f t="shared" ref="C39:C49" si="26">2^-(C21-$C$33)</f>
        <v>1.3482378730229447</v>
      </c>
      <c r="D39" s="8">
        <f t="shared" ref="D39:D49" si="27">2^-(D21-$D$33)</f>
        <v>1.3471999091303217</v>
      </c>
      <c r="E39" s="8">
        <f t="shared" ref="E39:E49" si="28">2^-(E21-$E$33)</f>
        <v>0.81599409256339761</v>
      </c>
      <c r="F39" s="8">
        <f t="shared" ref="F39:F49" si="29">2^-(F21-$F$33)</f>
        <v>1.2016060203134928</v>
      </c>
      <c r="G39" s="8">
        <f t="shared" ref="G39:G49" si="30">2^-(G21-$G$33)</f>
        <v>1.1146807797153704</v>
      </c>
      <c r="H39" s="8">
        <f t="shared" ref="H39:H49" si="31">2^-(H21-$H$33)</f>
        <v>0.86751700712312507</v>
      </c>
      <c r="I39" s="8">
        <f t="shared" ref="I39:I49" si="32">2^-(I21-$I$33)</f>
        <v>1.0545522753077807</v>
      </c>
      <c r="J39" s="8">
        <f t="shared" ref="J39:J49" si="33">2^-(J21-$J$33)</f>
        <v>0.96219979065742478</v>
      </c>
    </row>
    <row r="40" spans="1:10">
      <c r="A40" t="str">
        <f t="shared" ref="A40:B40" si="34">A22</f>
        <v>CTRL_3</v>
      </c>
      <c r="B40" t="str">
        <f t="shared" si="34"/>
        <v>Control</v>
      </c>
      <c r="C40" s="8">
        <f t="shared" si="26"/>
        <v>0.96909389930731715</v>
      </c>
      <c r="D40" s="8">
        <f t="shared" si="27"/>
        <v>0.88695363044104947</v>
      </c>
      <c r="E40" s="8">
        <f t="shared" si="28"/>
        <v>0.92248493423866318</v>
      </c>
      <c r="F40" s="8">
        <f t="shared" si="29"/>
        <v>0.93860968685852275</v>
      </c>
      <c r="G40" s="8">
        <f t="shared" si="30"/>
        <v>0.92035600185396182</v>
      </c>
      <c r="H40" s="8">
        <f t="shared" si="31"/>
        <v>1.0462763243272206</v>
      </c>
      <c r="I40" s="8">
        <f t="shared" si="32"/>
        <v>1.0402502161293592</v>
      </c>
      <c r="J40" s="8">
        <f t="shared" si="33"/>
        <v>0.95134577335591908</v>
      </c>
    </row>
    <row r="41" spans="1:10">
      <c r="A41" t="str">
        <f t="shared" ref="A41:B41" si="35">A23</f>
        <v>CTRL_4</v>
      </c>
      <c r="B41" t="str">
        <f t="shared" si="35"/>
        <v>Control</v>
      </c>
      <c r="C41" s="8">
        <f t="shared" si="26"/>
        <v>0.98275023187201249</v>
      </c>
      <c r="D41" s="8">
        <f t="shared" si="27"/>
        <v>0.90361842499752631</v>
      </c>
      <c r="E41" s="8">
        <f t="shared" si="28"/>
        <v>1.3352583687568242</v>
      </c>
      <c r="F41" s="8">
        <f t="shared" si="29"/>
        <v>1.1293183709166728</v>
      </c>
      <c r="G41" s="8">
        <f t="shared" si="30"/>
        <v>1.1228139757251332</v>
      </c>
      <c r="H41" s="8">
        <f t="shared" si="31"/>
        <v>1.4294421746795554</v>
      </c>
      <c r="I41" s="8">
        <f t="shared" si="32"/>
        <v>1.1254112261696407</v>
      </c>
      <c r="J41" s="8">
        <f t="shared" si="33"/>
        <v>0.72107940255663172</v>
      </c>
    </row>
    <row r="42" spans="1:10">
      <c r="A42" t="str">
        <f t="shared" ref="A42:B42" si="36">A24</f>
        <v>CTRL_5</v>
      </c>
      <c r="B42" t="str">
        <f t="shared" si="36"/>
        <v>Control</v>
      </c>
      <c r="C42" s="8">
        <f t="shared" si="26"/>
        <v>1.1624968177467518</v>
      </c>
      <c r="D42" s="8">
        <f t="shared" si="27"/>
        <v>0.99500958091905189</v>
      </c>
      <c r="E42" s="8">
        <f t="shared" si="28"/>
        <v>1.3098930187691689</v>
      </c>
      <c r="F42" s="8">
        <f t="shared" si="29"/>
        <v>0.72586961063739341</v>
      </c>
      <c r="G42" s="8">
        <f t="shared" si="30"/>
        <v>0.88850326887787534</v>
      </c>
      <c r="H42" s="8">
        <f t="shared" si="31"/>
        <v>0.63777332185680202</v>
      </c>
      <c r="I42" s="8">
        <f t="shared" si="32"/>
        <v>0.80633373606858427</v>
      </c>
      <c r="J42" s="8">
        <f t="shared" si="33"/>
        <v>1.023771275553687</v>
      </c>
    </row>
    <row r="43" spans="1:10">
      <c r="A43" t="str">
        <f t="shared" ref="A43:B43" si="37">A25</f>
        <v>CTRL_6</v>
      </c>
      <c r="B43" t="str">
        <f t="shared" si="37"/>
        <v>Control</v>
      </c>
      <c r="C43" s="8">
        <f t="shared" si="26"/>
        <v>0.65304293660224566</v>
      </c>
      <c r="D43" s="8">
        <f t="shared" si="27"/>
        <v>0.92496583093388407</v>
      </c>
      <c r="E43" s="8">
        <f t="shared" si="28"/>
        <v>1.2432691421484372</v>
      </c>
      <c r="F43" s="8">
        <f t="shared" si="29"/>
        <v>1.1089072051971443</v>
      </c>
      <c r="G43" s="8">
        <f t="shared" si="30"/>
        <v>0.98678337206301348</v>
      </c>
      <c r="H43" s="8">
        <f t="shared" si="31"/>
        <v>0.95206939859905149</v>
      </c>
      <c r="I43" s="8">
        <f t="shared" si="32"/>
        <v>1.1414006665395018</v>
      </c>
      <c r="J43" s="8">
        <f t="shared" si="33"/>
        <v>1.3965976223651901</v>
      </c>
    </row>
    <row r="44" spans="1:10">
      <c r="A44" t="str">
        <f t="shared" ref="A44:B44" si="38">A26</f>
        <v>TRT_1</v>
      </c>
      <c r="B44" t="str">
        <f t="shared" si="38"/>
        <v>Treatment</v>
      </c>
      <c r="C44" s="8">
        <f t="shared" si="26"/>
        <v>11.830158836958068</v>
      </c>
      <c r="D44" s="8">
        <f t="shared" si="27"/>
        <v>3.9448025608684141</v>
      </c>
      <c r="E44" s="8">
        <f t="shared" si="28"/>
        <v>3.3018771126166908</v>
      </c>
      <c r="F44" s="8">
        <f t="shared" si="29"/>
        <v>2.5816374796960933</v>
      </c>
      <c r="G44" s="8">
        <f t="shared" si="30"/>
        <v>2.5549347162322049</v>
      </c>
      <c r="H44" s="8">
        <f t="shared" si="31"/>
        <v>2.273560026365117</v>
      </c>
      <c r="I44" s="8">
        <f t="shared" si="32"/>
        <v>0.28584132820150887</v>
      </c>
      <c r="J44" s="8">
        <f t="shared" si="33"/>
        <v>0.74109524431041129</v>
      </c>
    </row>
    <row r="45" spans="1:10">
      <c r="A45" t="str">
        <f t="shared" ref="A45:B45" si="39">A27</f>
        <v>TRT_2</v>
      </c>
      <c r="B45" t="str">
        <f t="shared" si="39"/>
        <v>Treatment</v>
      </c>
      <c r="C45" s="8">
        <f t="shared" si="26"/>
        <v>8.702763493263987</v>
      </c>
      <c r="D45" s="8">
        <f t="shared" si="27"/>
        <v>4.1134886959574173</v>
      </c>
      <c r="E45" s="8">
        <f t="shared" si="28"/>
        <v>2.292670687947314</v>
      </c>
      <c r="F45" s="8">
        <f t="shared" si="29"/>
        <v>1.2047182771305063</v>
      </c>
      <c r="G45" s="8">
        <f t="shared" si="30"/>
        <v>1.5731931528757732</v>
      </c>
      <c r="H45" s="8">
        <f t="shared" si="31"/>
        <v>2.2900236202091597</v>
      </c>
      <c r="I45" s="8">
        <f t="shared" si="32"/>
        <v>0.20834251072132792</v>
      </c>
      <c r="J45" s="8">
        <f t="shared" si="33"/>
        <v>0.32044313253890017</v>
      </c>
    </row>
    <row r="46" spans="1:10">
      <c r="A46" t="str">
        <f t="shared" ref="A46:B46" si="40">A28</f>
        <v>TRT_3</v>
      </c>
      <c r="B46" t="str">
        <f t="shared" si="40"/>
        <v>Treatment</v>
      </c>
      <c r="C46" s="8">
        <f t="shared" si="26"/>
        <v>5.7239564465582209</v>
      </c>
      <c r="D46" s="8">
        <f t="shared" si="27"/>
        <v>5.4110237873967453</v>
      </c>
      <c r="E46" s="8">
        <f t="shared" si="28"/>
        <v>1.6124281964956559</v>
      </c>
      <c r="F46" s="8">
        <f t="shared" si="29"/>
        <v>1.3732252121287847</v>
      </c>
      <c r="G46" s="8">
        <f t="shared" si="30"/>
        <v>1.4134637822593903</v>
      </c>
      <c r="H46" s="8">
        <f t="shared" si="31"/>
        <v>1.8330357419005927</v>
      </c>
      <c r="I46" s="8">
        <f t="shared" si="32"/>
        <v>0.34290992903751644</v>
      </c>
      <c r="J46" s="8">
        <f t="shared" si="33"/>
        <v>0.32541350438964878</v>
      </c>
    </row>
    <row r="47" spans="1:10">
      <c r="A47" t="str">
        <f t="shared" ref="A47:B47" si="41">A29</f>
        <v>TRT_4</v>
      </c>
      <c r="B47" t="str">
        <f t="shared" si="41"/>
        <v>Treatment</v>
      </c>
      <c r="C47" s="8">
        <f t="shared" si="26"/>
        <v>9.7946280985369523</v>
      </c>
      <c r="D47" s="8">
        <f t="shared" si="27"/>
        <v>3.7517046831578513</v>
      </c>
      <c r="E47" s="8">
        <f t="shared" si="28"/>
        <v>1.9330508693131128</v>
      </c>
      <c r="F47" s="8">
        <f t="shared" si="29"/>
        <v>0.93468119275167039</v>
      </c>
      <c r="G47" s="8">
        <f t="shared" si="30"/>
        <v>1.1871862353340559</v>
      </c>
      <c r="H47" s="8">
        <f t="shared" si="31"/>
        <v>2.1773091556765314</v>
      </c>
      <c r="I47" s="8">
        <f t="shared" si="32"/>
        <v>0.42070463079014792</v>
      </c>
      <c r="J47" s="8">
        <f t="shared" si="33"/>
        <v>0.35322451538318389</v>
      </c>
    </row>
    <row r="48" spans="1:10">
      <c r="A48" t="str">
        <f t="shared" ref="A48:B48" si="42">A30</f>
        <v>TRT_5</v>
      </c>
      <c r="B48" t="str">
        <f t="shared" si="42"/>
        <v>Treatment</v>
      </c>
      <c r="C48" s="8">
        <f t="shared" si="26"/>
        <v>9.7604052538673969</v>
      </c>
      <c r="D48" s="8">
        <f t="shared" si="27"/>
        <v>3.6871257115284886</v>
      </c>
      <c r="E48" s="8">
        <f t="shared" si="28"/>
        <v>2.6743036291244842</v>
      </c>
      <c r="F48" s="8">
        <f t="shared" si="29"/>
        <v>1.0287054396460522</v>
      </c>
      <c r="G48" s="8">
        <f t="shared" si="30"/>
        <v>1.514837742911596</v>
      </c>
      <c r="H48" s="8">
        <f t="shared" si="31"/>
        <v>2.0909568241210597</v>
      </c>
      <c r="I48" s="8">
        <f t="shared" si="32"/>
        <v>0.38488426738889503</v>
      </c>
      <c r="J48" s="8">
        <f t="shared" si="33"/>
        <v>0.59609233061090716</v>
      </c>
    </row>
    <row r="49" spans="1:10">
      <c r="A49" t="str">
        <f t="shared" ref="A49:B49" si="43">A31</f>
        <v>TRT_6</v>
      </c>
      <c r="B49" t="str">
        <f t="shared" si="43"/>
        <v>Treatment</v>
      </c>
      <c r="C49" s="8">
        <f t="shared" si="26"/>
        <v>7.7291032335931602</v>
      </c>
      <c r="D49" s="8">
        <f t="shared" si="27"/>
        <v>5.4990786646231555</v>
      </c>
      <c r="E49" s="8">
        <f t="shared" si="28"/>
        <v>2.7495393323115747</v>
      </c>
      <c r="F49" s="8">
        <f t="shared" si="29"/>
        <v>1.5342390192045656</v>
      </c>
      <c r="G49" s="8">
        <f t="shared" si="30"/>
        <v>2.1522662964022814</v>
      </c>
      <c r="H49" s="8">
        <f t="shared" si="31"/>
        <v>2.0291233814260994</v>
      </c>
      <c r="I49" s="8">
        <f t="shared" si="32"/>
        <v>0.2246664479397974</v>
      </c>
      <c r="J49" s="8">
        <f t="shared" si="33"/>
        <v>0.63888774387607306</v>
      </c>
    </row>
    <row r="51" spans="1:10">
      <c r="A51" s="6" t="s">
        <v>50</v>
      </c>
    </row>
    <row r="52" spans="1:10">
      <c r="A52" s="7" t="s">
        <v>0</v>
      </c>
      <c r="B52" s="7" t="s">
        <v>1</v>
      </c>
      <c r="C52" s="7" t="s">
        <v>13</v>
      </c>
      <c r="D52" s="7" t="s">
        <v>15</v>
      </c>
      <c r="E52" s="7" t="s">
        <v>16</v>
      </c>
      <c r="F52" s="7" t="s">
        <v>17</v>
      </c>
      <c r="G52" s="7" t="s">
        <v>18</v>
      </c>
      <c r="H52" s="7" t="s">
        <v>19</v>
      </c>
      <c r="I52" s="7" t="s">
        <v>20</v>
      </c>
      <c r="J52" s="7" t="s">
        <v>21</v>
      </c>
    </row>
    <row r="53" spans="1:10">
      <c r="A53" t="str">
        <f>A20</f>
        <v>CTRL_1</v>
      </c>
      <c r="B53" t="str">
        <f>B20</f>
        <v>Control</v>
      </c>
      <c r="C53" s="9">
        <f>_xlfn.RANK.AVG(C20,$C$20:$C$31,1)</f>
        <v>9</v>
      </c>
      <c r="D53" s="9">
        <f>_xlfn.RANK.AVG(D20,$D$20:$D$31,1)</f>
        <v>8</v>
      </c>
      <c r="E53" s="9">
        <f>_xlfn.RANK.AVG(E20,$E$20:$E$31,1)</f>
        <v>12</v>
      </c>
      <c r="F53" s="9">
        <f>_xlfn.RANK.AVG(F20,$F$20:$F$31,1)</f>
        <v>9</v>
      </c>
      <c r="G53" s="9">
        <f>_xlfn.RANK.AVG(G20,$G$20:$G$31,1)</f>
        <v>9</v>
      </c>
      <c r="H53" s="9">
        <f>_xlfn.RANK.AVG(H20,$H$20:$H$31,1)</f>
        <v>8</v>
      </c>
      <c r="I53" s="9">
        <f>_xlfn.RANK.AVG(I20,$I$20:$I$31,1)</f>
        <v>5</v>
      </c>
      <c r="J53" s="9">
        <f>_xlfn.RANK.AVG(J20,$J$20:$J$31,1)</f>
        <v>2</v>
      </c>
    </row>
    <row r="54" spans="1:10">
      <c r="A54" t="str">
        <f t="shared" ref="A54:B54" si="44">A21</f>
        <v>CTRL_2</v>
      </c>
      <c r="B54" t="str">
        <f t="shared" si="44"/>
        <v>Control</v>
      </c>
      <c r="C54" s="9">
        <f t="shared" ref="C54:C64" si="45">_xlfn.RANK.AVG(C21,$C$20:$C$31,1)</f>
        <v>7</v>
      </c>
      <c r="D54" s="9">
        <f t="shared" ref="D54:D64" si="46">_xlfn.RANK.AVG(D21,$D$20:$D$31,1)</f>
        <v>7</v>
      </c>
      <c r="E54" s="9">
        <f t="shared" ref="E54:E64" si="47">_xlfn.RANK.AVG(E21,$E$20:$E$31,1)</f>
        <v>11</v>
      </c>
      <c r="F54" s="9">
        <f t="shared" ref="F54:F64" si="48">_xlfn.RANK.AVG(F21,$F$20:$F$31,1)</f>
        <v>5</v>
      </c>
      <c r="G54" s="9">
        <f t="shared" ref="G54:G64" si="49">_xlfn.RANK.AVG(G21,$G$20:$G$31,1)</f>
        <v>8</v>
      </c>
      <c r="H54" s="9">
        <f t="shared" ref="H54:H64" si="50">_xlfn.RANK.AVG(H21,$H$20:$H$31,1)</f>
        <v>11</v>
      </c>
      <c r="I54" s="9">
        <f t="shared" ref="I54:I64" si="51">_xlfn.RANK.AVG(I21,$I$20:$I$31,1)</f>
        <v>3</v>
      </c>
      <c r="J54" s="9">
        <f t="shared" ref="J54:J64" si="52">_xlfn.RANK.AVG(J21,$J$20:$J$31,1)</f>
        <v>4</v>
      </c>
    </row>
    <row r="55" spans="1:10">
      <c r="A55" t="str">
        <f t="shared" ref="A55:B55" si="53">A22</f>
        <v>CTRL_3</v>
      </c>
      <c r="B55" t="str">
        <f t="shared" si="53"/>
        <v>Control</v>
      </c>
      <c r="C55" s="9">
        <f t="shared" si="45"/>
        <v>11</v>
      </c>
      <c r="D55" s="9">
        <f t="shared" si="46"/>
        <v>12</v>
      </c>
      <c r="E55" s="9">
        <f t="shared" si="47"/>
        <v>10</v>
      </c>
      <c r="F55" s="9">
        <f t="shared" si="48"/>
        <v>10</v>
      </c>
      <c r="G55" s="9">
        <f t="shared" si="49"/>
        <v>11</v>
      </c>
      <c r="H55" s="9">
        <f t="shared" si="50"/>
        <v>9</v>
      </c>
      <c r="I55" s="9">
        <f t="shared" si="51"/>
        <v>4</v>
      </c>
      <c r="J55" s="9">
        <f t="shared" si="52"/>
        <v>5</v>
      </c>
    </row>
    <row r="56" spans="1:10">
      <c r="A56" t="str">
        <f t="shared" ref="A56:B56" si="54">A23</f>
        <v>CTRL_4</v>
      </c>
      <c r="B56" t="str">
        <f t="shared" si="54"/>
        <v>Control</v>
      </c>
      <c r="C56" s="9">
        <f t="shared" si="45"/>
        <v>10</v>
      </c>
      <c r="D56" s="9">
        <f t="shared" si="46"/>
        <v>11</v>
      </c>
      <c r="E56" s="9">
        <f t="shared" si="47"/>
        <v>7</v>
      </c>
      <c r="F56" s="9">
        <f t="shared" si="48"/>
        <v>6</v>
      </c>
      <c r="G56" s="9">
        <f t="shared" si="49"/>
        <v>7</v>
      </c>
      <c r="H56" s="9">
        <f t="shared" si="50"/>
        <v>7</v>
      </c>
      <c r="I56" s="9">
        <f t="shared" si="51"/>
        <v>2</v>
      </c>
      <c r="J56" s="9">
        <f t="shared" si="52"/>
        <v>7</v>
      </c>
    </row>
    <row r="57" spans="1:10">
      <c r="A57" t="str">
        <f t="shared" ref="A57:B57" si="55">A24</f>
        <v>CTRL_5</v>
      </c>
      <c r="B57" t="str">
        <f t="shared" si="55"/>
        <v>Control</v>
      </c>
      <c r="C57" s="9">
        <f t="shared" si="45"/>
        <v>8</v>
      </c>
      <c r="D57" s="9">
        <f t="shared" si="46"/>
        <v>9</v>
      </c>
      <c r="E57" s="9">
        <f t="shared" si="47"/>
        <v>8</v>
      </c>
      <c r="F57" s="9">
        <f t="shared" si="48"/>
        <v>12</v>
      </c>
      <c r="G57" s="9">
        <f t="shared" si="49"/>
        <v>12</v>
      </c>
      <c r="H57" s="9">
        <f t="shared" si="50"/>
        <v>12</v>
      </c>
      <c r="I57" s="9">
        <f t="shared" si="51"/>
        <v>6</v>
      </c>
      <c r="J57" s="9">
        <f t="shared" si="52"/>
        <v>3</v>
      </c>
    </row>
    <row r="58" spans="1:10">
      <c r="A58" t="str">
        <f t="shared" ref="A58:B58" si="56">A25</f>
        <v>CTRL_6</v>
      </c>
      <c r="B58" t="str">
        <f t="shared" si="56"/>
        <v>Control</v>
      </c>
      <c r="C58" s="9">
        <f t="shared" si="45"/>
        <v>12</v>
      </c>
      <c r="D58" s="9">
        <f t="shared" si="46"/>
        <v>10</v>
      </c>
      <c r="E58" s="9">
        <f t="shared" si="47"/>
        <v>9</v>
      </c>
      <c r="F58" s="9">
        <f t="shared" si="48"/>
        <v>7</v>
      </c>
      <c r="G58" s="9">
        <f t="shared" si="49"/>
        <v>10</v>
      </c>
      <c r="H58" s="9">
        <f t="shared" si="50"/>
        <v>10</v>
      </c>
      <c r="I58" s="9">
        <f t="shared" si="51"/>
        <v>1</v>
      </c>
      <c r="J58" s="9">
        <f t="shared" si="52"/>
        <v>1</v>
      </c>
    </row>
    <row r="59" spans="1:10">
      <c r="A59" t="str">
        <f t="shared" ref="A59:B59" si="57">A26</f>
        <v>TRT_1</v>
      </c>
      <c r="B59" t="str">
        <f t="shared" si="57"/>
        <v>Treatment</v>
      </c>
      <c r="C59" s="9">
        <f t="shared" si="45"/>
        <v>1</v>
      </c>
      <c r="D59" s="9">
        <f t="shared" si="46"/>
        <v>4</v>
      </c>
      <c r="E59" s="9">
        <f t="shared" si="47"/>
        <v>1</v>
      </c>
      <c r="F59" s="9">
        <f t="shared" si="48"/>
        <v>1</v>
      </c>
      <c r="G59" s="9">
        <f t="shared" si="49"/>
        <v>1</v>
      </c>
      <c r="H59" s="9">
        <f t="shared" si="50"/>
        <v>2</v>
      </c>
      <c r="I59" s="9">
        <f t="shared" si="51"/>
        <v>10</v>
      </c>
      <c r="J59" s="9">
        <f t="shared" si="52"/>
        <v>6</v>
      </c>
    </row>
    <row r="60" spans="1:10">
      <c r="A60" t="str">
        <f t="shared" ref="A60:B60" si="58">A27</f>
        <v>TRT_2</v>
      </c>
      <c r="B60" t="str">
        <f t="shared" si="58"/>
        <v>Treatment</v>
      </c>
      <c r="C60" s="9">
        <f t="shared" si="45"/>
        <v>4</v>
      </c>
      <c r="D60" s="9">
        <f t="shared" si="46"/>
        <v>3</v>
      </c>
      <c r="E60" s="9">
        <f t="shared" si="47"/>
        <v>4</v>
      </c>
      <c r="F60" s="9">
        <f t="shared" si="48"/>
        <v>4</v>
      </c>
      <c r="G60" s="9">
        <f t="shared" si="49"/>
        <v>3</v>
      </c>
      <c r="H60" s="9">
        <f t="shared" si="50"/>
        <v>1</v>
      </c>
      <c r="I60" s="9">
        <f t="shared" si="51"/>
        <v>12</v>
      </c>
      <c r="J60" s="9">
        <f t="shared" si="52"/>
        <v>12</v>
      </c>
    </row>
    <row r="61" spans="1:10">
      <c r="A61" t="str">
        <f t="shared" ref="A61:B61" si="59">A28</f>
        <v>TRT_3</v>
      </c>
      <c r="B61" t="str">
        <f t="shared" si="59"/>
        <v>Treatment</v>
      </c>
      <c r="C61" s="9">
        <f t="shared" si="45"/>
        <v>6</v>
      </c>
      <c r="D61" s="9">
        <f t="shared" si="46"/>
        <v>2</v>
      </c>
      <c r="E61" s="9">
        <f t="shared" si="47"/>
        <v>6</v>
      </c>
      <c r="F61" s="9">
        <f t="shared" si="48"/>
        <v>3</v>
      </c>
      <c r="G61" s="9">
        <f t="shared" si="49"/>
        <v>5</v>
      </c>
      <c r="H61" s="9">
        <f t="shared" si="50"/>
        <v>6</v>
      </c>
      <c r="I61" s="9">
        <f t="shared" si="51"/>
        <v>9</v>
      </c>
      <c r="J61" s="9">
        <f t="shared" si="52"/>
        <v>11</v>
      </c>
    </row>
    <row r="62" spans="1:10">
      <c r="A62" t="str">
        <f t="shared" ref="A62:B62" si="60">A29</f>
        <v>TRT_4</v>
      </c>
      <c r="B62" t="str">
        <f t="shared" si="60"/>
        <v>Treatment</v>
      </c>
      <c r="C62" s="9">
        <f t="shared" si="45"/>
        <v>2</v>
      </c>
      <c r="D62" s="9">
        <f t="shared" si="46"/>
        <v>5</v>
      </c>
      <c r="E62" s="9">
        <f t="shared" si="47"/>
        <v>5</v>
      </c>
      <c r="F62" s="9">
        <f t="shared" si="48"/>
        <v>11</v>
      </c>
      <c r="G62" s="9">
        <f t="shared" si="49"/>
        <v>6</v>
      </c>
      <c r="H62" s="9">
        <f t="shared" si="50"/>
        <v>3</v>
      </c>
      <c r="I62" s="9">
        <f t="shared" si="51"/>
        <v>7</v>
      </c>
      <c r="J62" s="9">
        <f t="shared" si="52"/>
        <v>10</v>
      </c>
    </row>
    <row r="63" spans="1:10">
      <c r="A63" t="str">
        <f t="shared" ref="A63:B63" si="61">A30</f>
        <v>TRT_5</v>
      </c>
      <c r="B63" t="str">
        <f t="shared" si="61"/>
        <v>Treatment</v>
      </c>
      <c r="C63" s="9">
        <f t="shared" si="45"/>
        <v>3</v>
      </c>
      <c r="D63" s="9">
        <f t="shared" si="46"/>
        <v>6</v>
      </c>
      <c r="E63" s="9">
        <f t="shared" si="47"/>
        <v>3</v>
      </c>
      <c r="F63" s="9">
        <f t="shared" si="48"/>
        <v>8</v>
      </c>
      <c r="G63" s="9">
        <f t="shared" si="49"/>
        <v>4</v>
      </c>
      <c r="H63" s="9">
        <f t="shared" si="50"/>
        <v>4</v>
      </c>
      <c r="I63" s="9">
        <f t="shared" si="51"/>
        <v>8</v>
      </c>
      <c r="J63" s="9">
        <f t="shared" si="52"/>
        <v>9</v>
      </c>
    </row>
    <row r="64" spans="1:10">
      <c r="A64" t="str">
        <f t="shared" ref="A64:B64" si="62">A31</f>
        <v>TRT_6</v>
      </c>
      <c r="B64" t="str">
        <f t="shared" si="62"/>
        <v>Treatment</v>
      </c>
      <c r="C64" s="9">
        <f t="shared" si="45"/>
        <v>5</v>
      </c>
      <c r="D64" s="9">
        <f t="shared" si="46"/>
        <v>1</v>
      </c>
      <c r="E64" s="9">
        <f t="shared" si="47"/>
        <v>2</v>
      </c>
      <c r="F64" s="9">
        <f t="shared" si="48"/>
        <v>2</v>
      </c>
      <c r="G64" s="9">
        <f t="shared" si="49"/>
        <v>2</v>
      </c>
      <c r="H64" s="9">
        <f t="shared" si="50"/>
        <v>5</v>
      </c>
      <c r="I64" s="9">
        <f t="shared" si="51"/>
        <v>11</v>
      </c>
      <c r="J64" s="9">
        <f t="shared" si="52"/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19A0-70AE-4F72-A25F-3829B5263E5D}">
  <dimension ref="A1:AC12"/>
  <sheetViews>
    <sheetView tabSelected="1" topLeftCell="Q29" zoomScale="115" zoomScaleNormal="115" workbookViewId="0">
      <selection activeCell="AK51" sqref="AK51"/>
    </sheetView>
  </sheetViews>
  <sheetFormatPr defaultRowHeight="15"/>
  <cols>
    <col min="1" max="1" width="108.5703125" bestFit="1" customWidth="1"/>
    <col min="2" max="2" width="8.85546875" bestFit="1" customWidth="1"/>
    <col min="3" max="3" width="11.28515625" bestFit="1" customWidth="1"/>
    <col min="4" max="4" width="19.85546875" bestFit="1" customWidth="1"/>
    <col min="5" max="6" width="5.42578125" bestFit="1" customWidth="1"/>
    <col min="7" max="7" width="4.42578125" bestFit="1" customWidth="1"/>
    <col min="8" max="8" width="7.42578125" bestFit="1" customWidth="1"/>
    <col min="9" max="9" width="5.28515625" bestFit="1" customWidth="1"/>
    <col min="10" max="10" width="5" bestFit="1" customWidth="1"/>
    <col min="11" max="11" width="7.28515625" bestFit="1" customWidth="1"/>
    <col min="12" max="12" width="8.28515625" bestFit="1" customWidth="1"/>
    <col min="13" max="13" width="7" bestFit="1" customWidth="1"/>
    <col min="14" max="14" width="12.42578125" bestFit="1" customWidth="1"/>
    <col min="15" max="15" width="3.85546875" bestFit="1" customWidth="1"/>
    <col min="16" max="16" width="15.5703125" bestFit="1" customWidth="1"/>
    <col min="17" max="17" width="14.5703125" bestFit="1" customWidth="1"/>
    <col min="18" max="18" width="18" bestFit="1" customWidth="1"/>
    <col min="19" max="19" width="17" bestFit="1" customWidth="1"/>
    <col min="20" max="20" width="16.140625" bestFit="1" customWidth="1"/>
  </cols>
  <sheetData>
    <row r="1" spans="1:29" ht="18.75">
      <c r="A1" s="5" t="s">
        <v>51</v>
      </c>
    </row>
    <row r="2" spans="1:29">
      <c r="A2" s="10" t="s">
        <v>52</v>
      </c>
    </row>
    <row r="4" spans="1:29">
      <c r="A4" s="7" t="s">
        <v>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  <c r="M4" s="7" t="s">
        <v>64</v>
      </c>
      <c r="N4" s="7" t="s">
        <v>65</v>
      </c>
      <c r="O4" s="7" t="s">
        <v>66</v>
      </c>
      <c r="P4" s="7" t="s">
        <v>67</v>
      </c>
      <c r="Q4" s="7" t="s">
        <v>68</v>
      </c>
      <c r="R4" s="7" t="s">
        <v>69</v>
      </c>
      <c r="S4" s="7" t="s">
        <v>70</v>
      </c>
      <c r="T4" s="7" t="s">
        <v>71</v>
      </c>
      <c r="V4" s="7" t="s">
        <v>2</v>
      </c>
      <c r="W4" s="7" t="s">
        <v>9</v>
      </c>
      <c r="X4" s="7" t="s">
        <v>28</v>
      </c>
      <c r="Y4" s="7" t="s">
        <v>72</v>
      </c>
      <c r="Z4" s="7" t="s">
        <v>73</v>
      </c>
      <c r="AB4" s="7" t="s">
        <v>2</v>
      </c>
      <c r="AC4" s="7" t="s">
        <v>74</v>
      </c>
    </row>
    <row r="5" spans="1:29">
      <c r="A5" t="s">
        <v>13</v>
      </c>
      <c r="B5">
        <f>COUNTIF(Analysis!$B$20:$B$31,"Control")</f>
        <v>6</v>
      </c>
      <c r="C5">
        <f>COUNTIF(Analysis!$B$20:$B$31,"Treatment")</f>
        <v>6</v>
      </c>
      <c r="D5" s="8">
        <f>SUM(INDEX(Analysis!$C$53:$J$58,0,MATCH($A5,Analysis!$C$52:$J$52,0)))</f>
        <v>57</v>
      </c>
      <c r="E5" s="8">
        <f>D5-B5*(B5+1)/2</f>
        <v>36</v>
      </c>
      <c r="F5" s="8">
        <f>B5*C5-E5</f>
        <v>0</v>
      </c>
      <c r="G5" s="8">
        <f>MIN(E5,F5)</f>
        <v>0</v>
      </c>
      <c r="H5" s="8">
        <f>B5*C5/2</f>
        <v>18</v>
      </c>
      <c r="I5" s="8">
        <f>SQRT(B5*C5*(B5+C5+1)/12)</f>
        <v>6.2449979983983983</v>
      </c>
      <c r="J5" s="8">
        <f>(G5-H5-0.5*SIGN(G5-H5))/I5</f>
        <v>-2.8022426915890248</v>
      </c>
      <c r="K5" s="11">
        <f>2*(1-_xlfn.NORM.S.DIST(ABS(J5),TRUE))</f>
        <v>5.0748680979402216E-3</v>
      </c>
      <c r="L5">
        <f>_xlfn.RANK.EQ(K5,$K$5:$K$12,1)+COUNTIF($K$5:K5,K5)-1</f>
        <v>1</v>
      </c>
      <c r="M5" s="11">
        <f>K5*8/L5</f>
        <v>4.0598944783521773E-2</v>
      </c>
      <c r="N5" s="11">
        <f>_xlfn.MINIFS($M$5:$M$12,$L$5:$L$12,"&gt;="&amp;L5)</f>
        <v>6.7664907972536286E-3</v>
      </c>
      <c r="O5" s="12" t="str">
        <f>IF(N5&lt;0.001,"***",IF(N5&lt;0.01,"**",IF(N5&lt;0.05,"*","ns")))</f>
        <v>**</v>
      </c>
      <c r="P5" s="8">
        <f>AVERAGE(INDEX(Analysis!$C$38:$J$43,0,MATCH($A5,Analysis!$C$37:$J$37,0)))</f>
        <v>1.0235814180205307</v>
      </c>
      <c r="Q5" s="8">
        <f>STDEV(INDEX(Analysis!$C$38:$J$43,0,MATCH($A5,Analysis!$C$37:$J$37,0)))/SQRT(B5)</f>
        <v>9.4276077995377836E-2</v>
      </c>
      <c r="R5" s="8">
        <f>AVERAGE(INDEX(Analysis!$C$44:$J$49,0,MATCH($A5,Analysis!$C$37:$J$37,0)))</f>
        <v>8.9235025604629641</v>
      </c>
      <c r="S5" s="8">
        <f>STDEV(INDEX(Analysis!$C$44:$J$49,0,MATCH($A5,Analysis!$C$37:$J$37,0)))/SQRT(C5)</f>
        <v>0.8489273104692886</v>
      </c>
      <c r="T5" s="8">
        <f>LOG(R5/P5,2)</f>
        <v>3.1239842307607768</v>
      </c>
      <c r="V5" t="str">
        <f>A5</f>
        <v>IL6</v>
      </c>
      <c r="W5">
        <f>P5</f>
        <v>1.0235814180205307</v>
      </c>
      <c r="X5">
        <f>R5</f>
        <v>8.9235025604629641</v>
      </c>
      <c r="Y5">
        <f>Q5</f>
        <v>9.4276077995377836E-2</v>
      </c>
      <c r="Z5">
        <f>S5</f>
        <v>0.8489273104692886</v>
      </c>
      <c r="AB5" t="str">
        <f>A5</f>
        <v>IL6</v>
      </c>
      <c r="AC5">
        <f>T5</f>
        <v>3.1239842307607768</v>
      </c>
    </row>
    <row r="6" spans="1:29">
      <c r="A6" t="s">
        <v>15</v>
      </c>
      <c r="B6">
        <f>COUNTIF(Analysis!$B$20:$B$31,"Control")</f>
        <v>6</v>
      </c>
      <c r="C6">
        <f>COUNTIF(Analysis!$B$20:$B$31,"Treatment")</f>
        <v>6</v>
      </c>
      <c r="D6" s="8">
        <f>SUM(INDEX(Analysis!$C$53:$J$58,0,MATCH($A6,Analysis!$C$52:$J$52,0)))</f>
        <v>57</v>
      </c>
      <c r="E6" s="8">
        <f t="shared" ref="E6:E12" si="0">D6-B6*(B6+1)/2</f>
        <v>36</v>
      </c>
      <c r="F6" s="8">
        <f t="shared" ref="F6:F12" si="1">B6*C6-E6</f>
        <v>0</v>
      </c>
      <c r="G6" s="8">
        <f t="shared" ref="G6:G12" si="2">MIN(E6,F6)</f>
        <v>0</v>
      </c>
      <c r="H6" s="8">
        <f t="shared" ref="H6:H12" si="3">B6*C6/2</f>
        <v>18</v>
      </c>
      <c r="I6" s="8">
        <f t="shared" ref="I6:I12" si="4">SQRT(B6*C6*(B6+C6+1)/12)</f>
        <v>6.2449979983983983</v>
      </c>
      <c r="J6" s="8">
        <f t="shared" ref="J6:J12" si="5">(G6-H6-0.5*SIGN(G6-H6))/I6</f>
        <v>-2.8022426915890248</v>
      </c>
      <c r="K6" s="11">
        <f t="shared" ref="K6:K12" si="6">2*(1-_xlfn.NORM.S.DIST(ABS(J6),TRUE))</f>
        <v>5.0748680979402216E-3</v>
      </c>
      <c r="L6">
        <f>_xlfn.RANK.EQ(K6,$K$5:$K$12,1)+COUNTIF($K$5:K6,K6)-1</f>
        <v>2</v>
      </c>
      <c r="M6" s="11">
        <f t="shared" ref="M6:M12" si="7">K6*8/L6</f>
        <v>2.0299472391760887E-2</v>
      </c>
      <c r="N6" s="11">
        <f t="shared" ref="N6:N12" si="8">_xlfn.MINIFS($M$5:$M$12,$L$5:$L$12,"&gt;="&amp;L6)</f>
        <v>6.7664907972536286E-3</v>
      </c>
      <c r="O6" s="12" t="str">
        <f t="shared" ref="O6:O12" si="9">IF(N6&lt;0.001,"***",IF(N6&lt;0.01,"**",IF(N6&lt;0.05,"*","ns")))</f>
        <v>**</v>
      </c>
      <c r="P6" s="8">
        <f>AVERAGE(INDEX(Analysis!$C$38:$J$43,0,MATCH($A6,Analysis!$C$37:$J$37,0)))</f>
        <v>1.0106751561693392</v>
      </c>
      <c r="Q6" s="8">
        <f>STDEV(INDEX(Analysis!$C$38:$J$43,0,MATCH($A6,Analysis!$C$37:$J$37,0)))/SQRT(B6)</f>
        <v>7.0149288069870808E-2</v>
      </c>
      <c r="R6" s="8">
        <f>AVERAGE(INDEX(Analysis!$C$44:$J$49,0,MATCH($A6,Analysis!$C$37:$J$37,0)))</f>
        <v>4.4012040172553455</v>
      </c>
      <c r="S6" s="8">
        <f>STDEV(INDEX(Analysis!$C$44:$J$49,0,MATCH($A6,Analysis!$C$37:$J$37,0)))/SQRT(C6)</f>
        <v>0.33901348629545358</v>
      </c>
      <c r="T6" s="8">
        <f t="shared" ref="T6:T12" si="10">LOG(R6/P6,2)</f>
        <v>2.1225788779922365</v>
      </c>
      <c r="V6" t="str">
        <f t="shared" ref="V6:V12" si="11">A6</f>
        <v>CXCL8</v>
      </c>
      <c r="W6">
        <f t="shared" ref="W6:W12" si="12">P6</f>
        <v>1.0106751561693392</v>
      </c>
      <c r="X6">
        <f t="shared" ref="X6:X12" si="13">R6</f>
        <v>4.4012040172553455</v>
      </c>
      <c r="Y6">
        <f t="shared" ref="Y6:Y12" si="14">Q6</f>
        <v>7.0149288069870808E-2</v>
      </c>
      <c r="Z6">
        <f t="shared" ref="Z6:Z12" si="15">S6</f>
        <v>0.33901348629545358</v>
      </c>
      <c r="AB6" t="str">
        <f t="shared" ref="AB6:AB12" si="16">A6</f>
        <v>CXCL8</v>
      </c>
      <c r="AC6">
        <f t="shared" ref="AC6:AC12" si="17">T6</f>
        <v>2.1225788779922365</v>
      </c>
    </row>
    <row r="7" spans="1:29">
      <c r="A7" t="s">
        <v>16</v>
      </c>
      <c r="B7">
        <f>COUNTIF(Analysis!$B$20:$B$31,"Control")</f>
        <v>6</v>
      </c>
      <c r="C7">
        <f>COUNTIF(Analysis!$B$20:$B$31,"Treatment")</f>
        <v>6</v>
      </c>
      <c r="D7" s="8">
        <f>SUM(INDEX(Analysis!$C$53:$J$58,0,MATCH($A7,Analysis!$C$52:$J$52,0)))</f>
        <v>57</v>
      </c>
      <c r="E7" s="8">
        <f t="shared" si="0"/>
        <v>36</v>
      </c>
      <c r="F7" s="8">
        <f t="shared" si="1"/>
        <v>0</v>
      </c>
      <c r="G7" s="8">
        <f t="shared" si="2"/>
        <v>0</v>
      </c>
      <c r="H7" s="8">
        <f t="shared" si="3"/>
        <v>18</v>
      </c>
      <c r="I7" s="8">
        <f t="shared" si="4"/>
        <v>6.2449979983983983</v>
      </c>
      <c r="J7" s="8">
        <f t="shared" si="5"/>
        <v>-2.8022426915890248</v>
      </c>
      <c r="K7" s="11">
        <f t="shared" si="6"/>
        <v>5.0748680979402216E-3</v>
      </c>
      <c r="L7">
        <f>_xlfn.RANK.EQ(K7,$K$5:$K$12,1)+COUNTIF($K$5:K7,K7)-1</f>
        <v>3</v>
      </c>
      <c r="M7" s="11">
        <f t="shared" si="7"/>
        <v>1.3532981594507257E-2</v>
      </c>
      <c r="N7" s="11">
        <f t="shared" si="8"/>
        <v>6.7664907972536286E-3</v>
      </c>
      <c r="O7" s="12" t="str">
        <f t="shared" si="9"/>
        <v>**</v>
      </c>
      <c r="P7" s="8">
        <f>AVERAGE(INDEX(Analysis!$C$38:$J$43,0,MATCH($A7,Analysis!$C$37:$J$37,0)))</f>
        <v>1.0396373123645821</v>
      </c>
      <c r="Q7" s="8">
        <f>STDEV(INDEX(Analysis!$C$38:$J$43,0,MATCH($A7,Analysis!$C$37:$J$37,0)))/SQRT(B7)</f>
        <v>0.12239712403705527</v>
      </c>
      <c r="R7" s="8">
        <f>AVERAGE(INDEX(Analysis!$C$44:$J$49,0,MATCH($A7,Analysis!$C$37:$J$37,0)))</f>
        <v>2.4273116379681388</v>
      </c>
      <c r="S7" s="8">
        <f>STDEV(INDEX(Analysis!$C$44:$J$49,0,MATCH($A7,Analysis!$C$37:$J$37,0)))/SQRT(C7)</f>
        <v>0.24874065585025942</v>
      </c>
      <c r="T7" s="8">
        <f t="shared" si="10"/>
        <v>1.2232790274050116</v>
      </c>
      <c r="V7" t="str">
        <f t="shared" si="11"/>
        <v>TNF</v>
      </c>
      <c r="W7">
        <f t="shared" si="12"/>
        <v>1.0396373123645821</v>
      </c>
      <c r="X7">
        <f t="shared" si="13"/>
        <v>2.4273116379681388</v>
      </c>
      <c r="Y7">
        <f t="shared" si="14"/>
        <v>0.12239712403705527</v>
      </c>
      <c r="Z7">
        <f t="shared" si="15"/>
        <v>0.24874065585025942</v>
      </c>
      <c r="AB7" t="str">
        <f t="shared" si="16"/>
        <v>TNF</v>
      </c>
      <c r="AC7">
        <f t="shared" si="17"/>
        <v>1.2232790274050116</v>
      </c>
    </row>
    <row r="8" spans="1:29">
      <c r="A8" t="s">
        <v>17</v>
      </c>
      <c r="B8">
        <f>COUNTIF(Analysis!$B$20:$B$31,"Control")</f>
        <v>6</v>
      </c>
      <c r="C8">
        <f>COUNTIF(Analysis!$B$20:$B$31,"Treatment")</f>
        <v>6</v>
      </c>
      <c r="D8" s="8">
        <f>SUM(INDEX(Analysis!$C$53:$J$58,0,MATCH($A8,Analysis!$C$52:$J$52,0)))</f>
        <v>49</v>
      </c>
      <c r="E8" s="8">
        <f t="shared" si="0"/>
        <v>28</v>
      </c>
      <c r="F8" s="8">
        <f t="shared" si="1"/>
        <v>8</v>
      </c>
      <c r="G8" s="8">
        <f t="shared" si="2"/>
        <v>8</v>
      </c>
      <c r="H8" s="8">
        <f t="shared" si="3"/>
        <v>18</v>
      </c>
      <c r="I8" s="8">
        <f t="shared" si="4"/>
        <v>6.2449979983983983</v>
      </c>
      <c r="J8" s="8">
        <f t="shared" si="5"/>
        <v>-1.5212174611483278</v>
      </c>
      <c r="K8" s="11">
        <f t="shared" si="6"/>
        <v>0.12820527503039147</v>
      </c>
      <c r="L8">
        <f>_xlfn.RANK.EQ(K8,$K$5:$K$12,1)+COUNTIF($K$5:K8,K8)-1</f>
        <v>8</v>
      </c>
      <c r="M8" s="11">
        <f t="shared" si="7"/>
        <v>0.12820527503039147</v>
      </c>
      <c r="N8" s="11">
        <f t="shared" si="8"/>
        <v>0.12820527503039147</v>
      </c>
      <c r="O8" s="12" t="str">
        <f t="shared" si="9"/>
        <v>ns</v>
      </c>
      <c r="P8" s="8">
        <f>AVERAGE(INDEX(Analysis!$C$38:$J$43,0,MATCH($A8,Analysis!$C$37:$J$37,0)))</f>
        <v>1.01328511465878</v>
      </c>
      <c r="Q8" s="8">
        <f>STDEV(INDEX(Analysis!$C$38:$J$43,0,MATCH($A8,Analysis!$C$37:$J$37,0)))/SQRT(B8)</f>
        <v>7.0164438583362979E-2</v>
      </c>
      <c r="R8" s="8">
        <f>AVERAGE(INDEX(Analysis!$C$44:$J$49,0,MATCH($A8,Analysis!$C$37:$J$37,0)))</f>
        <v>1.4428677700929455</v>
      </c>
      <c r="S8" s="8">
        <f>STDEV(INDEX(Analysis!$C$44:$J$49,0,MATCH($A8,Analysis!$C$37:$J$37,0)))/SQRT(C8)</f>
        <v>0.24471033603718445</v>
      </c>
      <c r="T8" s="8">
        <f t="shared" si="10"/>
        <v>0.50989892001099424</v>
      </c>
      <c r="V8" t="str">
        <f t="shared" si="11"/>
        <v>NFKB1</v>
      </c>
      <c r="W8">
        <f t="shared" si="12"/>
        <v>1.01328511465878</v>
      </c>
      <c r="X8">
        <f t="shared" si="13"/>
        <v>1.4428677700929455</v>
      </c>
      <c r="Y8">
        <f t="shared" si="14"/>
        <v>7.0164438583362979E-2</v>
      </c>
      <c r="Z8">
        <f t="shared" si="15"/>
        <v>0.24471033603718445</v>
      </c>
      <c r="AB8" t="str">
        <f t="shared" si="16"/>
        <v>NFKB1</v>
      </c>
      <c r="AC8">
        <f t="shared" si="17"/>
        <v>0.50989892001099424</v>
      </c>
    </row>
    <row r="9" spans="1:29">
      <c r="A9" t="s">
        <v>18</v>
      </c>
      <c r="B9">
        <f>COUNTIF(Analysis!$B$20:$B$31,"Control")</f>
        <v>6</v>
      </c>
      <c r="C9">
        <f>COUNTIF(Analysis!$B$20:$B$31,"Treatment")</f>
        <v>6</v>
      </c>
      <c r="D9" s="8">
        <f>SUM(INDEX(Analysis!$C$53:$J$58,0,MATCH($A9,Analysis!$C$52:$J$52,0)))</f>
        <v>57</v>
      </c>
      <c r="E9" s="8">
        <f t="shared" si="0"/>
        <v>36</v>
      </c>
      <c r="F9" s="8">
        <f t="shared" si="1"/>
        <v>0</v>
      </c>
      <c r="G9" s="8">
        <f t="shared" si="2"/>
        <v>0</v>
      </c>
      <c r="H9" s="8">
        <f t="shared" si="3"/>
        <v>18</v>
      </c>
      <c r="I9" s="8">
        <f t="shared" si="4"/>
        <v>6.2449979983983983</v>
      </c>
      <c r="J9" s="8">
        <f t="shared" si="5"/>
        <v>-2.8022426915890248</v>
      </c>
      <c r="K9" s="11">
        <f t="shared" si="6"/>
        <v>5.0748680979402216E-3</v>
      </c>
      <c r="L9">
        <f>_xlfn.RANK.EQ(K9,$K$5:$K$12,1)+COUNTIF($K$5:K9,K9)-1</f>
        <v>4</v>
      </c>
      <c r="M9" s="11">
        <f t="shared" si="7"/>
        <v>1.0149736195880443E-2</v>
      </c>
      <c r="N9" s="11">
        <f t="shared" si="8"/>
        <v>6.7664907972536286E-3</v>
      </c>
      <c r="O9" s="12" t="str">
        <f t="shared" si="9"/>
        <v>**</v>
      </c>
      <c r="P9" s="8">
        <f>AVERAGE(INDEX(Analysis!$C$38:$J$43,0,MATCH($A9,Analysis!$C$37:$J$37,0)))</f>
        <v>1.0038827470218206</v>
      </c>
      <c r="Q9" s="8">
        <f>STDEV(INDEX(Analysis!$C$38:$J$43,0,MATCH($A9,Analysis!$C$37:$J$37,0)))/SQRT(B9)</f>
        <v>3.9661362347726978E-2</v>
      </c>
      <c r="R9" s="8">
        <f>AVERAGE(INDEX(Analysis!$C$44:$J$49,0,MATCH($A9,Analysis!$C$37:$J$37,0)))</f>
        <v>1.7326469876692168</v>
      </c>
      <c r="S9" s="8">
        <f>STDEV(INDEX(Analysis!$C$44:$J$49,0,MATCH($A9,Analysis!$C$37:$J$37,0)))/SQRT(C9)</f>
        <v>0.21011974493074573</v>
      </c>
      <c r="T9" s="8">
        <f t="shared" si="10"/>
        <v>0.78738697428591553</v>
      </c>
      <c r="V9" t="str">
        <f t="shared" si="11"/>
        <v>STAT3</v>
      </c>
      <c r="W9">
        <f t="shared" si="12"/>
        <v>1.0038827470218206</v>
      </c>
      <c r="X9">
        <f t="shared" si="13"/>
        <v>1.7326469876692168</v>
      </c>
      <c r="Y9">
        <f t="shared" si="14"/>
        <v>3.9661362347726978E-2</v>
      </c>
      <c r="Z9">
        <f t="shared" si="15"/>
        <v>0.21011974493074573</v>
      </c>
      <c r="AB9" t="str">
        <f t="shared" si="16"/>
        <v>STAT3</v>
      </c>
      <c r="AC9">
        <f t="shared" si="17"/>
        <v>0.78738697428591553</v>
      </c>
    </row>
    <row r="10" spans="1:29">
      <c r="A10" t="s">
        <v>19</v>
      </c>
      <c r="B10">
        <f>COUNTIF(Analysis!$B$20:$B$31,"Control")</f>
        <v>6</v>
      </c>
      <c r="C10">
        <f>COUNTIF(Analysis!$B$20:$B$31,"Treatment")</f>
        <v>6</v>
      </c>
      <c r="D10" s="8">
        <f>SUM(INDEX(Analysis!$C$53:$J$58,0,MATCH($A10,Analysis!$C$52:$J$52,0)))</f>
        <v>57</v>
      </c>
      <c r="E10" s="8">
        <f t="shared" si="0"/>
        <v>36</v>
      </c>
      <c r="F10" s="8">
        <f t="shared" si="1"/>
        <v>0</v>
      </c>
      <c r="G10" s="8">
        <f t="shared" si="2"/>
        <v>0</v>
      </c>
      <c r="H10" s="8">
        <f t="shared" si="3"/>
        <v>18</v>
      </c>
      <c r="I10" s="8">
        <f t="shared" si="4"/>
        <v>6.2449979983983983</v>
      </c>
      <c r="J10" s="8">
        <f t="shared" si="5"/>
        <v>-2.8022426915890248</v>
      </c>
      <c r="K10" s="11">
        <f t="shared" si="6"/>
        <v>5.0748680979402216E-3</v>
      </c>
      <c r="L10">
        <f>_xlfn.RANK.EQ(K10,$K$5:$K$12,1)+COUNTIF($K$5:K10,K10)-1</f>
        <v>5</v>
      </c>
      <c r="M10" s="11">
        <f t="shared" si="7"/>
        <v>8.1197889567043539E-3</v>
      </c>
      <c r="N10" s="11">
        <f t="shared" si="8"/>
        <v>6.7664907972536286E-3</v>
      </c>
      <c r="O10" s="12" t="str">
        <f t="shared" si="9"/>
        <v>**</v>
      </c>
      <c r="P10" s="8">
        <f>AVERAGE(INDEX(Analysis!$C$38:$J$43,0,MATCH($A10,Analysis!$C$37:$J$37,0)))</f>
        <v>1.0337344673909548</v>
      </c>
      <c r="Q10" s="8">
        <f>STDEV(INDEX(Analysis!$C$38:$J$43,0,MATCH($A10,Analysis!$C$37:$J$37,0)))/SQRT(B10)</f>
        <v>0.11594957653436758</v>
      </c>
      <c r="R10" s="8">
        <f>AVERAGE(INDEX(Analysis!$C$44:$J$49,0,MATCH($A10,Analysis!$C$37:$J$37,0)))</f>
        <v>2.1156681249497598</v>
      </c>
      <c r="S10" s="8">
        <f>STDEV(INDEX(Analysis!$C$44:$J$49,0,MATCH($A10,Analysis!$C$37:$J$37,0)))/SQRT(C10)</f>
        <v>7.0026426653809329E-2</v>
      </c>
      <c r="T10" s="8">
        <f t="shared" si="10"/>
        <v>1.0332476842959977</v>
      </c>
      <c r="V10" t="str">
        <f t="shared" si="11"/>
        <v>MYC</v>
      </c>
      <c r="W10">
        <f t="shared" si="12"/>
        <v>1.0337344673909548</v>
      </c>
      <c r="X10">
        <f t="shared" si="13"/>
        <v>2.1156681249497598</v>
      </c>
      <c r="Y10">
        <f t="shared" si="14"/>
        <v>0.11594957653436758</v>
      </c>
      <c r="Z10">
        <f t="shared" si="15"/>
        <v>7.0026426653809329E-2</v>
      </c>
      <c r="AB10" t="str">
        <f t="shared" si="16"/>
        <v>MYC</v>
      </c>
      <c r="AC10">
        <f t="shared" si="17"/>
        <v>1.0332476842959977</v>
      </c>
    </row>
    <row r="11" spans="1:29">
      <c r="A11" t="s">
        <v>20</v>
      </c>
      <c r="B11">
        <f>COUNTIF(Analysis!$B$20:$B$31,"Control")</f>
        <v>6</v>
      </c>
      <c r="C11">
        <f>COUNTIF(Analysis!$B$20:$B$31,"Treatment")</f>
        <v>6</v>
      </c>
      <c r="D11" s="8">
        <f>SUM(INDEX(Analysis!$C$53:$J$58,0,MATCH($A11,Analysis!$C$52:$J$52,0)))</f>
        <v>21</v>
      </c>
      <c r="E11" s="8">
        <f t="shared" si="0"/>
        <v>0</v>
      </c>
      <c r="F11" s="8">
        <f t="shared" si="1"/>
        <v>36</v>
      </c>
      <c r="G11" s="8">
        <f t="shared" si="2"/>
        <v>0</v>
      </c>
      <c r="H11" s="8">
        <f t="shared" si="3"/>
        <v>18</v>
      </c>
      <c r="I11" s="8">
        <f t="shared" si="4"/>
        <v>6.2449979983983983</v>
      </c>
      <c r="J11" s="8">
        <f t="shared" si="5"/>
        <v>-2.8022426915890248</v>
      </c>
      <c r="K11" s="11">
        <f t="shared" si="6"/>
        <v>5.0748680979402216E-3</v>
      </c>
      <c r="L11">
        <f>_xlfn.RANK.EQ(K11,$K$5:$K$12,1)+COUNTIF($K$5:K11,K11)-1</f>
        <v>6</v>
      </c>
      <c r="M11" s="11">
        <f t="shared" si="7"/>
        <v>6.7664907972536286E-3</v>
      </c>
      <c r="N11" s="11">
        <f t="shared" si="8"/>
        <v>6.7664907972536286E-3</v>
      </c>
      <c r="O11" s="12" t="str">
        <f t="shared" si="9"/>
        <v>**</v>
      </c>
      <c r="P11" s="8">
        <f>AVERAGE(INDEX(Analysis!$C$38:$J$43,0,MATCH($A11,Analysis!$C$37:$J$37,0)))</f>
        <v>1.0080072958543396</v>
      </c>
      <c r="Q11" s="8">
        <f>STDEV(INDEX(Analysis!$C$38:$J$43,0,MATCH($A11,Analysis!$C$37:$J$37,0)))/SQRT(B11)</f>
        <v>5.5322426983952781E-2</v>
      </c>
      <c r="R11" s="8">
        <f>AVERAGE(INDEX(Analysis!$C$44:$J$49,0,MATCH($A11,Analysis!$C$37:$J$37,0)))</f>
        <v>0.31122485234653224</v>
      </c>
      <c r="S11" s="8">
        <f>STDEV(INDEX(Analysis!$C$44:$J$49,0,MATCH($A11,Analysis!$C$37:$J$37,0)))/SQRT(C11)</f>
        <v>3.5183771015960277E-2</v>
      </c>
      <c r="T11" s="8">
        <f t="shared" si="10"/>
        <v>-1.6954769068893858</v>
      </c>
      <c r="V11" t="str">
        <f t="shared" si="11"/>
        <v>CDKN1A</v>
      </c>
      <c r="W11">
        <f t="shared" si="12"/>
        <v>1.0080072958543396</v>
      </c>
      <c r="X11">
        <f t="shared" si="13"/>
        <v>0.31122485234653224</v>
      </c>
      <c r="Y11">
        <f t="shared" si="14"/>
        <v>5.5322426983952781E-2</v>
      </c>
      <c r="Z11">
        <f t="shared" si="15"/>
        <v>3.5183771015960277E-2</v>
      </c>
      <c r="AB11" t="str">
        <f t="shared" si="16"/>
        <v>CDKN1A</v>
      </c>
      <c r="AC11">
        <f t="shared" si="17"/>
        <v>-1.6954769068893858</v>
      </c>
    </row>
    <row r="12" spans="1:29">
      <c r="A12" t="s">
        <v>21</v>
      </c>
      <c r="B12">
        <f>COUNTIF(Analysis!$B$20:$B$31,"Control")</f>
        <v>6</v>
      </c>
      <c r="C12">
        <f>COUNTIF(Analysis!$B$20:$B$31,"Treatment")</f>
        <v>6</v>
      </c>
      <c r="D12" s="8">
        <f>SUM(INDEX(Analysis!$C$53:$J$58,0,MATCH($A12,Analysis!$C$52:$J$52,0)))</f>
        <v>22</v>
      </c>
      <c r="E12" s="8">
        <f t="shared" si="0"/>
        <v>1</v>
      </c>
      <c r="F12" s="8">
        <f t="shared" si="1"/>
        <v>35</v>
      </c>
      <c r="G12" s="8">
        <f t="shared" si="2"/>
        <v>1</v>
      </c>
      <c r="H12" s="8">
        <f t="shared" si="3"/>
        <v>18</v>
      </c>
      <c r="I12" s="8">
        <f t="shared" si="4"/>
        <v>6.2449979983983983</v>
      </c>
      <c r="J12" s="8">
        <f t="shared" si="5"/>
        <v>-2.6421145377839377</v>
      </c>
      <c r="K12" s="11">
        <f t="shared" si="6"/>
        <v>8.2390188257246422E-3</v>
      </c>
      <c r="L12">
        <f>_xlfn.RANK.EQ(K12,$K$5:$K$12,1)+COUNTIF($K$5:K12,K12)-1</f>
        <v>7</v>
      </c>
      <c r="M12" s="11">
        <f t="shared" si="7"/>
        <v>9.416021515113877E-3</v>
      </c>
      <c r="N12" s="11">
        <f t="shared" si="8"/>
        <v>9.416021515113877E-3</v>
      </c>
      <c r="O12" s="12" t="str">
        <f t="shared" si="9"/>
        <v>**</v>
      </c>
      <c r="P12" s="8">
        <f>AVERAGE(INDEX(Analysis!$C$38:$J$43,0,MATCH($A12,Analysis!$C$37:$J$37,0)))</f>
        <v>1.0190977861834865</v>
      </c>
      <c r="Q12" s="8">
        <f>STDEV(INDEX(Analysis!$C$38:$J$43,0,MATCH($A12,Analysis!$C$37:$J$37,0)))/SQRT(B12)</f>
        <v>8.959361813987142E-2</v>
      </c>
      <c r="R12" s="8">
        <f>AVERAGE(INDEX(Analysis!$C$44:$J$49,0,MATCH($A12,Analysis!$C$37:$J$37,0)))</f>
        <v>0.49585941185152071</v>
      </c>
      <c r="S12" s="8">
        <f>STDEV(INDEX(Analysis!$C$44:$J$49,0,MATCH($A12,Analysis!$C$37:$J$37,0)))/SQRT(C12)</f>
        <v>7.5456775131080622E-2</v>
      </c>
      <c r="T12" s="8">
        <f t="shared" si="10"/>
        <v>-1.0392894453178787</v>
      </c>
      <c r="V12" t="str">
        <f t="shared" si="11"/>
        <v>BAX</v>
      </c>
      <c r="W12">
        <f t="shared" si="12"/>
        <v>1.0190977861834865</v>
      </c>
      <c r="X12">
        <f t="shared" si="13"/>
        <v>0.49585941185152071</v>
      </c>
      <c r="Y12">
        <f t="shared" si="14"/>
        <v>8.959361813987142E-2</v>
      </c>
      <c r="Z12">
        <f t="shared" si="15"/>
        <v>7.5456775131080622E-2</v>
      </c>
      <c r="AB12" t="str">
        <f t="shared" si="16"/>
        <v>BAX</v>
      </c>
      <c r="AC12">
        <f t="shared" si="17"/>
        <v>-1.0392894453178787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 Ramasamy</dc:creator>
  <cp:keywords/>
  <dc:description/>
  <cp:lastModifiedBy>Deepa Ramasamy</cp:lastModifiedBy>
  <cp:revision/>
  <dcterms:created xsi:type="dcterms:W3CDTF">2026-09-28T09:39:06Z</dcterms:created>
  <dcterms:modified xsi:type="dcterms:W3CDTF">2026-10-12T08:39:17Z</dcterms:modified>
  <cp:category/>
  <cp:contentStatus/>
</cp:coreProperties>
</file>