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t 1" sheetId="1" state="visible" r:id="rId3"/>
    <sheet name="Visit 2 (8wk)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<sst xmlns="http://schemas.openxmlformats.org/spreadsheetml/2006/main" count="210" uniqueCount="103">
  <si>
    <t xml:space="preserve">SKIN-AD Pilot Study - Site A (Dermatology Clinic) - VISIT 1</t>
  </si>
  <si>
    <t xml:space="preserve">Data entered by research nurse. Last updated 14/06/2024 - pls do not edit!!</t>
  </si>
  <si>
    <t xml:space="preserve">Participant</t>
  </si>
  <si>
    <t xml:space="preserve">Visit</t>
  </si>
  <si>
    <t xml:space="preserve">Anthropometrics</t>
  </si>
  <si>
    <t xml:space="preserve">Clinical</t>
  </si>
  <si>
    <t xml:space="preserve">Sampling</t>
  </si>
  <si>
    <t xml:space="preserve">Pt ID</t>
  </si>
  <si>
    <t xml:space="preserve">Age</t>
  </si>
  <si>
    <t xml:space="preserve">Gender</t>
  </si>
  <si>
    <t xml:space="preserve">Date of visit</t>
  </si>
  <si>
    <t xml:space="preserve">Wt (kg)</t>
  </si>
  <si>
    <t xml:space="preserve">Ht</t>
  </si>
  <si>
    <t xml:space="preserve">SCORAD</t>
  </si>
  <si>
    <t xml:space="preserve">SCORAD_old</t>
  </si>
  <si>
    <t xml:space="preserve">Antibiotics? (last 3m)</t>
  </si>
  <si>
    <t xml:space="preserve">Steroid cream</t>
  </si>
  <si>
    <t xml:space="preserve">Swab site</t>
  </si>
  <si>
    <t xml:space="preserve">Sample ID</t>
  </si>
  <si>
    <t xml:space="preserve">Comments</t>
  </si>
  <si>
    <t xml:space="preserve">P001</t>
  </si>
  <si>
    <t xml:space="preserve">F</t>
  </si>
  <si>
    <t xml:space="preserve">N</t>
  </si>
  <si>
    <t xml:space="preserve">Y</t>
  </si>
  <si>
    <t xml:space="preserve">Antecubital fossa</t>
  </si>
  <si>
    <t xml:space="preserve">A1-V1</t>
  </si>
  <si>
    <t xml:space="preserve">p002</t>
  </si>
  <si>
    <t xml:space="preserve">34y</t>
  </si>
  <si>
    <t xml:space="preserve">Female</t>
  </si>
  <si>
    <t xml:space="preserve">yes</t>
  </si>
  <si>
    <t xml:space="preserve">popliteal fossa</t>
  </si>
  <si>
    <t xml:space="preserve">A2-V1</t>
  </si>
  <si>
    <t xml:space="preserve">P-003</t>
  </si>
  <si>
    <t xml:space="preserve">M</t>
  </si>
  <si>
    <t xml:space="preserve">n</t>
  </si>
  <si>
    <t xml:space="preserve">antecubital</t>
  </si>
  <si>
    <t xml:space="preserve">a3_v1</t>
  </si>
  <si>
    <t xml:space="preserve">P 004 </t>
  </si>
  <si>
    <t xml:space="preserve">89kg</t>
  </si>
  <si>
    <t xml:space="preserve">No</t>
  </si>
  <si>
    <t xml:space="preserve">back of knee</t>
  </si>
  <si>
    <t xml:space="preserve">A4-V1</t>
  </si>
  <si>
    <t xml:space="preserve">P5</t>
  </si>
  <si>
    <t xml:space="preserve">female</t>
  </si>
  <si>
    <t xml:space="preserve">15/3/2024</t>
  </si>
  <si>
    <t xml:space="preserve">A5-V1</t>
  </si>
  <si>
    <t xml:space="preserve">P006</t>
  </si>
  <si>
    <t xml:space="preserve">none</t>
  </si>
  <si>
    <t xml:space="preserve">a6_v1</t>
  </si>
  <si>
    <t xml:space="preserve">moved overseas</t>
  </si>
  <si>
    <t xml:space="preserve">P007</t>
  </si>
  <si>
    <t xml:space="preserve">41 yrs</t>
  </si>
  <si>
    <t xml:space="preserve">f </t>
  </si>
  <si>
    <t xml:space="preserve">A7-V1</t>
  </si>
  <si>
    <t xml:space="preserve">P008</t>
  </si>
  <si>
    <t xml:space="preserve">A8-V1</t>
  </si>
  <si>
    <t xml:space="preserve">flare ++</t>
  </si>
  <si>
    <t xml:space="preserve">P009</t>
  </si>
  <si>
    <t xml:space="preserve">05-Mar-24</t>
  </si>
  <si>
    <t xml:space="preserve">not measured</t>
  </si>
  <si>
    <t xml:space="preserve">elbow crease</t>
  </si>
  <si>
    <t xml:space="preserve">a9_v1</t>
  </si>
  <si>
    <t xml:space="preserve">P010</t>
  </si>
  <si>
    <t xml:space="preserve">F </t>
  </si>
  <si>
    <t xml:space="preserve">A10-V1</t>
  </si>
  <si>
    <t xml:space="preserve">P011</t>
  </si>
  <si>
    <t xml:space="preserve">154 lb</t>
  </si>
  <si>
    <t xml:space="preserve">A11-V1</t>
  </si>
  <si>
    <t xml:space="preserve">P012</t>
  </si>
  <si>
    <t xml:space="preserve">Popliteal</t>
  </si>
  <si>
    <t xml:space="preserve">a12_v1</t>
  </si>
  <si>
    <t xml:space="preserve">P013</t>
  </si>
  <si>
    <t xml:space="preserve">male</t>
  </si>
  <si>
    <t xml:space="preserve">52,3</t>
  </si>
  <si>
    <t xml:space="preserve">A13-V1</t>
  </si>
  <si>
    <t xml:space="preserve">P014</t>
  </si>
  <si>
    <t xml:space="preserve">A14-V1</t>
  </si>
  <si>
    <t xml:space="preserve">P015</t>
  </si>
  <si>
    <t xml:space="preserve">2024.03.11</t>
  </si>
  <si>
    <t xml:space="preserve">ACF</t>
  </si>
  <si>
    <t xml:space="preserve">a15_v1</t>
  </si>
  <si>
    <t xml:space="preserve">Mean</t>
  </si>
  <si>
    <t xml:space="preserve">Legend:</t>
  </si>
  <si>
    <t xml:space="preserve">yellow = withdrawn</t>
  </si>
  <si>
    <t xml:space="preserve">SKIN-AD Pilot Study - Site A - VISIT 2 (week 8)</t>
  </si>
  <si>
    <t xml:space="preserve">A1-V2</t>
  </si>
  <si>
    <t xml:space="preserve">A2-V2</t>
  </si>
  <si>
    <t xml:space="preserve">19/05/2024</t>
  </si>
  <si>
    <t xml:space="preserve">A3-V2</t>
  </si>
  <si>
    <t xml:space="preserve">P 004</t>
  </si>
  <si>
    <t xml:space="preserve">A5-V2</t>
  </si>
  <si>
    <t xml:space="preserve">Yes</t>
  </si>
  <si>
    <t xml:space="preserve">A7-V2</t>
  </si>
  <si>
    <t xml:space="preserve">A8-V2</t>
  </si>
  <si>
    <t xml:space="preserve">A9-V2</t>
  </si>
  <si>
    <t xml:space="preserve">A10-V2</t>
  </si>
  <si>
    <t xml:space="preserve">A11-V2</t>
  </si>
  <si>
    <t xml:space="preserve">A13-V2</t>
  </si>
  <si>
    <t xml:space="preserve">A14-V2</t>
  </si>
  <si>
    <t xml:space="preserve">SCORAD not done - pt late</t>
  </si>
  <si>
    <t xml:space="preserve">A15-V2</t>
  </si>
  <si>
    <t xml:space="preserve">Ask Dr L about P6 consent form</t>
  </si>
  <si>
    <t xml:space="preserve">freezer box 3 rack 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</si>
</sst>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  <col collapsed="false" customWidth="true" hidden="true" outlineLevel="0" max="8" min="8" style="0" width="14"/>
    <col collapsed="false" customWidth="true" hidden="false" outlineLevel="0" max="13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/>
      <c r="C4" s="2"/>
      <c r="D4" s="3" t="s">
        <v>3</v>
      </c>
      <c r="E4" s="2" t="s">
        <v>4</v>
      </c>
      <c r="F4" s="2"/>
      <c r="G4" s="2" t="s">
        <v>5</v>
      </c>
      <c r="H4" s="2"/>
      <c r="I4" s="2"/>
      <c r="J4" s="2"/>
      <c r="K4" s="2" t="s">
        <v>6</v>
      </c>
      <c r="L4" s="2"/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</row>
    <row r="6" customFormat="false" ht="15" hidden="false" customHeight="false" outlineLevel="0" collapsed="false">
      <c r="A6" s="0" t="s">
        <v>20</v>
      </c>
      <c r="B6" s="0" t="n">
        <v>19</v>
      </c>
      <c r="C6" s="0" t="s">
        <v>21</v>
      </c>
      <c r="D6" s="5" t="n">
        <v>45359</v>
      </c>
      <c r="E6" s="0" t="n">
        <v>61</v>
      </c>
      <c r="F6" s="0" t="n">
        <v>171</v>
      </c>
      <c r="G6" s="0" t="n">
        <v>47.5</v>
      </c>
      <c r="H6" s="0" t="n">
        <v>49.2</v>
      </c>
      <c r="I6" s="6" t="s">
        <v>22</v>
      </c>
      <c r="J6" s="6" t="s">
        <v>23</v>
      </c>
      <c r="K6" s="6" t="s">
        <v>24</v>
      </c>
      <c r="L6" s="6" t="s">
        <v>25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28</v>
      </c>
      <c r="D7" s="5" t="n">
        <v>45374</v>
      </c>
      <c r="E7" s="0" t="n">
        <v>78.6</v>
      </c>
      <c r="F7" s="0" t="n">
        <v>154</v>
      </c>
      <c r="G7" s="0" t="n">
        <v>47.4</v>
      </c>
      <c r="H7" s="0" t="n">
        <v>46.9</v>
      </c>
      <c r="I7" s="6" t="s">
        <v>29</v>
      </c>
      <c r="J7" s="6" t="s">
        <v>29</v>
      </c>
      <c r="K7" s="6" t="s">
        <v>30</v>
      </c>
      <c r="L7" s="6" t="s">
        <v>31</v>
      </c>
    </row>
    <row r="8" customFormat="false" ht="15" hidden="false" customHeight="false" outlineLevel="0" collapsed="false">
      <c r="A8" s="0" t="s">
        <v>32</v>
      </c>
      <c r="B8" s="0" t="n">
        <v>39</v>
      </c>
      <c r="C8" s="0" t="s">
        <v>33</v>
      </c>
      <c r="D8" s="5" t="n">
        <v>45376</v>
      </c>
      <c r="E8" s="0" t="n">
        <v>56.2</v>
      </c>
      <c r="F8" s="0" t="n">
        <v>1.69</v>
      </c>
      <c r="G8" s="0" t="n">
        <v>35.9</v>
      </c>
      <c r="H8" s="0" t="n">
        <v>37.2</v>
      </c>
      <c r="I8" s="6" t="s">
        <v>34</v>
      </c>
      <c r="J8" s="6" t="s">
        <v>23</v>
      </c>
      <c r="K8" s="6" t="s">
        <v>35</v>
      </c>
      <c r="L8" s="6" t="s">
        <v>36</v>
      </c>
    </row>
    <row r="9" customFormat="false" ht="15" hidden="false" customHeight="false" outlineLevel="0" collapsed="false">
      <c r="A9" s="0" t="s">
        <v>37</v>
      </c>
      <c r="B9" s="0" t="n">
        <v>52</v>
      </c>
      <c r="C9" s="0" t="s">
        <v>33</v>
      </c>
      <c r="D9" s="5" t="n">
        <v>45364</v>
      </c>
      <c r="E9" s="6" t="s">
        <v>38</v>
      </c>
      <c r="F9" s="0" t="n">
        <v>159</v>
      </c>
      <c r="G9" s="0" t="n">
        <v>46.8</v>
      </c>
      <c r="H9" s="0" t="n">
        <v>48.1</v>
      </c>
      <c r="I9" s="6" t="s">
        <v>34</v>
      </c>
      <c r="J9" s="6" t="s">
        <v>39</v>
      </c>
      <c r="K9" s="6" t="s">
        <v>40</v>
      </c>
      <c r="L9" s="6" t="s">
        <v>41</v>
      </c>
    </row>
    <row r="10" customFormat="false" ht="15" hidden="false" customHeight="false" outlineLevel="0" collapsed="false">
      <c r="A10" s="0" t="s">
        <v>42</v>
      </c>
      <c r="B10" s="0" t="n">
        <v>32</v>
      </c>
      <c r="C10" s="0" t="s">
        <v>43</v>
      </c>
      <c r="D10" s="0" t="s">
        <v>44</v>
      </c>
      <c r="E10" s="0" t="n">
        <v>65.2</v>
      </c>
      <c r="F10" s="0" t="n">
        <v>151</v>
      </c>
      <c r="G10" s="0" t="n">
        <v>34.5</v>
      </c>
      <c r="H10" s="0" t="n">
        <v>34.9</v>
      </c>
      <c r="I10" s="0" t="s">
        <v>34</v>
      </c>
      <c r="J10" s="0" t="s">
        <v>23</v>
      </c>
      <c r="K10" s="0" t="s">
        <v>40</v>
      </c>
      <c r="L10" s="0" t="s">
        <v>45</v>
      </c>
    </row>
    <row r="11" customFormat="false" ht="15" hidden="false" customHeight="false" outlineLevel="0" collapsed="false">
      <c r="A11" s="7" t="s">
        <v>46</v>
      </c>
      <c r="B11" s="7" t="n">
        <v>56</v>
      </c>
      <c r="C11" s="7" t="s">
        <v>21</v>
      </c>
      <c r="D11" s="8" t="n">
        <v>45375</v>
      </c>
      <c r="E11" s="7" t="n">
        <v>56.8</v>
      </c>
      <c r="F11" s="7" t="n">
        <v>168</v>
      </c>
      <c r="G11" s="7" t="n">
        <v>35.9</v>
      </c>
      <c r="H11" s="7" t="n">
        <v>37.3</v>
      </c>
      <c r="I11" s="7" t="s">
        <v>47</v>
      </c>
      <c r="J11" s="7" t="s">
        <v>23</v>
      </c>
      <c r="K11" s="7" t="s">
        <v>30</v>
      </c>
      <c r="L11" s="7" t="s">
        <v>48</v>
      </c>
      <c r="M11" s="7" t="s">
        <v>49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52</v>
      </c>
      <c r="D12" s="5" t="n">
        <v>45376</v>
      </c>
      <c r="E12" s="0" t="n">
        <v>83.7</v>
      </c>
      <c r="F12" s="0" t="n">
        <v>158</v>
      </c>
      <c r="G12" s="0" t="n">
        <v>59.3</v>
      </c>
      <c r="H12" s="0" t="n">
        <v>58.5</v>
      </c>
      <c r="I12" s="6" t="s">
        <v>34</v>
      </c>
      <c r="J12" s="6" t="s">
        <v>23</v>
      </c>
      <c r="K12" s="6" t="s">
        <v>35</v>
      </c>
      <c r="L12" s="6" t="s">
        <v>53</v>
      </c>
    </row>
    <row r="13" customFormat="false" ht="15" hidden="false" customHeight="false" outlineLevel="0" collapsed="false">
      <c r="A13" s="0" t="s">
        <v>54</v>
      </c>
      <c r="B13" s="0" t="n">
        <v>31</v>
      </c>
      <c r="C13" s="0" t="s">
        <v>33</v>
      </c>
      <c r="D13" s="5" t="n">
        <v>45372</v>
      </c>
      <c r="E13" s="0" t="n">
        <v>65.8</v>
      </c>
      <c r="F13" s="0" t="n">
        <v>183</v>
      </c>
      <c r="G13" s="0" t="n">
        <v>22.7</v>
      </c>
      <c r="H13" s="0" t="n">
        <v>20.4</v>
      </c>
      <c r="I13" s="6" t="s">
        <v>29</v>
      </c>
      <c r="J13" s="6" t="s">
        <v>29</v>
      </c>
      <c r="K13" s="6" t="s">
        <v>40</v>
      </c>
      <c r="L13" s="6" t="s">
        <v>55</v>
      </c>
      <c r="M13" s="6" t="s">
        <v>56</v>
      </c>
    </row>
    <row r="14" customFormat="false" ht="15" hidden="false" customHeight="false" outlineLevel="0" collapsed="false">
      <c r="A14" s="0" t="s">
        <v>54</v>
      </c>
      <c r="B14" s="0" t="n">
        <v>31</v>
      </c>
      <c r="C14" s="0" t="s">
        <v>33</v>
      </c>
      <c r="D14" s="5" t="n">
        <v>45372</v>
      </c>
      <c r="E14" s="0" t="n">
        <v>65.8</v>
      </c>
      <c r="F14" s="0" t="n">
        <v>183</v>
      </c>
      <c r="G14" s="0" t="n">
        <v>22.7</v>
      </c>
      <c r="H14" s="0" t="n">
        <v>20.4</v>
      </c>
      <c r="I14" s="6" t="s">
        <v>29</v>
      </c>
      <c r="J14" s="6" t="s">
        <v>29</v>
      </c>
      <c r="K14" s="6" t="s">
        <v>40</v>
      </c>
      <c r="L14" s="6" t="s">
        <v>55</v>
      </c>
      <c r="M14" s="6" t="s">
        <v>56</v>
      </c>
    </row>
    <row r="15" customFormat="false" ht="15" hidden="false" customHeight="false" outlineLevel="0" collapsed="false">
      <c r="A15" s="0" t="s">
        <v>57</v>
      </c>
      <c r="B15" s="0" t="n">
        <v>55</v>
      </c>
      <c r="C15" s="0" t="s">
        <v>33</v>
      </c>
      <c r="D15" s="0" t="s">
        <v>58</v>
      </c>
      <c r="E15" s="0" t="s">
        <v>59</v>
      </c>
      <c r="F15" s="0" t="n">
        <v>177</v>
      </c>
      <c r="G15" s="0" t="n">
        <v>62.4</v>
      </c>
      <c r="H15" s="0" t="n">
        <v>61.9</v>
      </c>
      <c r="I15" s="0" t="s">
        <v>29</v>
      </c>
      <c r="J15" s="0" t="s">
        <v>23</v>
      </c>
      <c r="K15" s="0" t="s">
        <v>60</v>
      </c>
      <c r="L15" s="0" t="s">
        <v>61</v>
      </c>
    </row>
    <row r="16" customFormat="false" ht="15" hidden="false" customHeight="false" outlineLevel="0" collapsed="false">
      <c r="A16" s="0" t="s">
        <v>62</v>
      </c>
      <c r="B16" s="0" t="n">
        <v>42</v>
      </c>
      <c r="C16" s="0" t="s">
        <v>63</v>
      </c>
      <c r="D16" s="5" t="n">
        <v>45366</v>
      </c>
      <c r="E16" s="0" t="n">
        <v>73.8</v>
      </c>
      <c r="F16" s="0" t="n">
        <v>1.6</v>
      </c>
      <c r="G16" s="0" t="n">
        <v>52.5</v>
      </c>
      <c r="H16" s="0" t="n">
        <v>53.8</v>
      </c>
      <c r="I16" s="6" t="s">
        <v>39</v>
      </c>
      <c r="J16" s="6" t="s">
        <v>29</v>
      </c>
      <c r="K16" s="6" t="s">
        <v>35</v>
      </c>
      <c r="L16" s="6" t="s">
        <v>64</v>
      </c>
    </row>
    <row r="17" customFormat="false" ht="15" hidden="false" customHeight="false" outlineLevel="0" collapsed="false">
      <c r="A17" s="0" t="s">
        <v>65</v>
      </c>
      <c r="B17" s="0" t="n">
        <v>36</v>
      </c>
      <c r="C17" s="0" t="s">
        <v>21</v>
      </c>
      <c r="D17" s="5" t="n">
        <v>45352</v>
      </c>
      <c r="E17" s="6" t="s">
        <v>66</v>
      </c>
      <c r="F17" s="0" t="n">
        <v>161</v>
      </c>
      <c r="G17" s="0" t="n">
        <v>62.9</v>
      </c>
      <c r="H17" s="0" t="n">
        <v>65.4</v>
      </c>
      <c r="I17" s="6" t="s">
        <v>22</v>
      </c>
      <c r="J17" s="6" t="s">
        <v>23</v>
      </c>
      <c r="K17" s="6" t="s">
        <v>35</v>
      </c>
      <c r="L17" s="6" t="s">
        <v>67</v>
      </c>
    </row>
    <row r="18" customFormat="false" ht="15" hidden="false" customHeight="false" outlineLevel="0" collapsed="false">
      <c r="A18" s="7" t="s">
        <v>68</v>
      </c>
      <c r="B18" s="7" t="n">
        <v>41</v>
      </c>
      <c r="C18" s="7" t="s">
        <v>21</v>
      </c>
      <c r="D18" s="8" t="n">
        <v>45376</v>
      </c>
      <c r="E18" s="7" t="n">
        <v>56.5</v>
      </c>
      <c r="F18" s="7" t="n">
        <v>172</v>
      </c>
      <c r="G18" s="7" t="n">
        <v>16.1</v>
      </c>
      <c r="H18" s="7" t="n">
        <v>18.6</v>
      </c>
      <c r="I18" s="7" t="s">
        <v>39</v>
      </c>
      <c r="J18" s="7" t="s">
        <v>22</v>
      </c>
      <c r="K18" s="7" t="s">
        <v>69</v>
      </c>
      <c r="L18" s="7" t="s">
        <v>70</v>
      </c>
      <c r="M18" s="7"/>
    </row>
    <row r="19" customFormat="false" ht="15" hidden="false" customHeight="false" outlineLevel="0" collapsed="false">
      <c r="A19" s="0" t="s">
        <v>71</v>
      </c>
      <c r="B19" s="0" t="n">
        <v>37</v>
      </c>
      <c r="C19" s="0" t="s">
        <v>72</v>
      </c>
      <c r="D19" s="5" t="n">
        <v>45370</v>
      </c>
      <c r="E19" s="6" t="s">
        <v>73</v>
      </c>
      <c r="F19" s="0" t="n">
        <v>167</v>
      </c>
      <c r="G19" s="0" t="n">
        <v>59.9</v>
      </c>
      <c r="H19" s="0" t="n">
        <v>57.9</v>
      </c>
      <c r="I19" s="6" t="s">
        <v>22</v>
      </c>
      <c r="J19" s="6" t="s">
        <v>29</v>
      </c>
      <c r="K19" s="6" t="s">
        <v>30</v>
      </c>
      <c r="L19" s="6" t="s">
        <v>74</v>
      </c>
    </row>
    <row r="20" customFormat="false" ht="15" hidden="false" customHeight="false" outlineLevel="0" collapsed="false">
      <c r="A20" s="0" t="s">
        <v>75</v>
      </c>
      <c r="B20" s="0" t="n">
        <v>53</v>
      </c>
      <c r="C20" s="0" t="s">
        <v>33</v>
      </c>
      <c r="D20" s="5" t="n">
        <v>45379</v>
      </c>
      <c r="E20" s="0" t="n">
        <v>60.6</v>
      </c>
      <c r="F20" s="0" t="n">
        <v>162</v>
      </c>
      <c r="G20" s="0" t="n">
        <v>54.2</v>
      </c>
      <c r="H20" s="0" t="n">
        <v>53.8</v>
      </c>
      <c r="I20" s="6" t="s">
        <v>23</v>
      </c>
      <c r="J20" s="6" t="s">
        <v>23</v>
      </c>
      <c r="K20" s="6" t="s">
        <v>60</v>
      </c>
      <c r="L20" s="6" t="s">
        <v>76</v>
      </c>
    </row>
    <row r="21" customFormat="false" ht="15" hidden="false" customHeight="false" outlineLevel="0" collapsed="false">
      <c r="A21" s="0" t="s">
        <v>77</v>
      </c>
      <c r="B21" s="0" t="n">
        <v>25</v>
      </c>
      <c r="C21" s="0" t="s">
        <v>33</v>
      </c>
      <c r="D21" s="0" t="s">
        <v>78</v>
      </c>
      <c r="E21" s="0" t="n">
        <v>59</v>
      </c>
      <c r="F21" s="0" t="n">
        <v>167</v>
      </c>
      <c r="G21" s="0" t="n">
        <v>15.4</v>
      </c>
      <c r="H21" s="0" t="n">
        <v>14.6</v>
      </c>
      <c r="I21" s="0" t="s">
        <v>47</v>
      </c>
      <c r="J21" s="0" t="s">
        <v>23</v>
      </c>
      <c r="K21" s="0" t="s">
        <v>79</v>
      </c>
      <c r="L21" s="0" t="s">
        <v>80</v>
      </c>
    </row>
    <row r="23" customFormat="false" ht="15" hidden="false" customHeight="false" outlineLevel="0" collapsed="false">
      <c r="A23" s="0" t="s">
        <v>81</v>
      </c>
      <c r="B23" s="0" t="n">
        <f aca="false">AVERAGE(B6:B21)</f>
        <v>39.2142857142857</v>
      </c>
      <c r="G23" s="0" t="n">
        <f aca="false">AVERAGE(G6:G21)</f>
        <v>42.25625</v>
      </c>
    </row>
    <row r="25" customFormat="false" ht="15" hidden="false" customHeight="false" outlineLevel="0" collapsed="false">
      <c r="A25" s="0" t="s">
        <v>82</v>
      </c>
      <c r="B25" s="7" t="s">
        <v>83</v>
      </c>
    </row>
  </sheetData>
  <mergeCells count="4">
    <mergeCell ref="A4:C4"/>
    <mergeCell ref="E4:F4"/>
    <mergeCell ref="G4:J4"/>
    <mergeCell ref="K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4" t="s">
        <v>7</v>
      </c>
      <c r="B4" s="4" t="s">
        <v>10</v>
      </c>
      <c r="C4" s="4" t="s">
        <v>13</v>
      </c>
      <c r="D4" s="4" t="s">
        <v>11</v>
      </c>
      <c r="E4" s="4" t="s">
        <v>17</v>
      </c>
      <c r="F4" s="4" t="s">
        <v>18</v>
      </c>
      <c r="G4" s="4" t="s">
        <v>15</v>
      </c>
      <c r="H4" s="4" t="s">
        <v>16</v>
      </c>
      <c r="I4" s="4" t="s">
        <v>19</v>
      </c>
    </row>
    <row r="5" customFormat="false" ht="15" hidden="false" customHeight="false" outlineLevel="0" collapsed="false">
      <c r="A5" s="0" t="s">
        <v>20</v>
      </c>
      <c r="B5" s="5" t="n">
        <v>45412</v>
      </c>
      <c r="C5" s="0" t="n">
        <v>47</v>
      </c>
      <c r="D5" s="0" t="n">
        <v>59.6</v>
      </c>
      <c r="E5" s="6" t="s">
        <v>79</v>
      </c>
      <c r="F5" s="6" t="s">
        <v>85</v>
      </c>
      <c r="G5" s="6" t="s">
        <v>29</v>
      </c>
    </row>
    <row r="6" customFormat="false" ht="15" hidden="false" customHeight="false" outlineLevel="0" collapsed="false">
      <c r="A6" s="0" t="s">
        <v>26</v>
      </c>
      <c r="B6" s="5" t="n">
        <v>45433</v>
      </c>
      <c r="C6" s="0" t="n">
        <v>33.4</v>
      </c>
      <c r="D6" s="0" t="n">
        <v>79.7</v>
      </c>
      <c r="E6" s="6" t="s">
        <v>69</v>
      </c>
      <c r="F6" s="6" t="s">
        <v>86</v>
      </c>
      <c r="G6" s="6" t="s">
        <v>47</v>
      </c>
      <c r="H6" s="6" t="s">
        <v>23</v>
      </c>
    </row>
    <row r="7" customFormat="false" ht="15" hidden="false" customHeight="false" outlineLevel="0" collapsed="false">
      <c r="A7" s="0" t="s">
        <v>32</v>
      </c>
      <c r="B7" s="0" t="s">
        <v>87</v>
      </c>
      <c r="C7" s="0" t="n">
        <v>25.8</v>
      </c>
      <c r="D7" s="0" t="n">
        <v>57.2</v>
      </c>
      <c r="E7" s="0" t="s">
        <v>24</v>
      </c>
      <c r="F7" s="0" t="s">
        <v>88</v>
      </c>
      <c r="G7" s="0" t="s">
        <v>22</v>
      </c>
      <c r="H7" s="0" t="s">
        <v>23</v>
      </c>
    </row>
    <row r="8" customFormat="false" ht="15" hidden="false" customHeight="false" outlineLevel="0" collapsed="false">
      <c r="A8" s="0" t="s">
        <v>89</v>
      </c>
      <c r="B8" s="5" t="n">
        <v>45422</v>
      </c>
      <c r="C8" s="0" t="n">
        <v>35.3</v>
      </c>
      <c r="D8" s="0" t="n">
        <v>87.6</v>
      </c>
      <c r="E8" s="6" t="s">
        <v>69</v>
      </c>
      <c r="F8" s="6" t="s">
        <v>90</v>
      </c>
      <c r="G8" s="6" t="s">
        <v>47</v>
      </c>
      <c r="H8" s="6" t="s">
        <v>39</v>
      </c>
    </row>
    <row r="9" customFormat="false" ht="15" hidden="false" customHeight="false" outlineLevel="0" collapsed="false">
      <c r="A9" s="0" t="s">
        <v>42</v>
      </c>
      <c r="B9" s="5" t="n">
        <v>45424</v>
      </c>
      <c r="C9" s="0" t="n">
        <v>16.1</v>
      </c>
      <c r="D9" s="0" t="n">
        <v>64.5</v>
      </c>
      <c r="E9" s="6" t="s">
        <v>40</v>
      </c>
      <c r="F9" s="6" t="s">
        <v>90</v>
      </c>
      <c r="G9" s="6" t="s">
        <v>91</v>
      </c>
      <c r="H9" s="6" t="s">
        <v>29</v>
      </c>
    </row>
    <row r="10" customFormat="false" ht="15" hidden="false" customHeight="false" outlineLevel="0" collapsed="false">
      <c r="A10" s="0" t="s">
        <v>50</v>
      </c>
      <c r="B10" s="5" t="n">
        <v>45432</v>
      </c>
      <c r="C10" s="0" t="n">
        <v>59</v>
      </c>
      <c r="D10" s="0" t="n">
        <v>83</v>
      </c>
      <c r="E10" s="6" t="s">
        <v>60</v>
      </c>
      <c r="F10" s="6" t="s">
        <v>92</v>
      </c>
      <c r="G10" s="6" t="s">
        <v>23</v>
      </c>
      <c r="H10" s="6" t="s">
        <v>29</v>
      </c>
    </row>
    <row r="11" customFormat="false" ht="15" hidden="false" customHeight="false" outlineLevel="0" collapsed="false">
      <c r="A11" s="0" t="s">
        <v>54</v>
      </c>
      <c r="B11" s="5" t="n">
        <v>45430</v>
      </c>
      <c r="C11" s="0" t="n">
        <v>21.1</v>
      </c>
      <c r="D11" s="0" t="n">
        <v>66</v>
      </c>
      <c r="E11" s="6" t="s">
        <v>40</v>
      </c>
      <c r="F11" s="6" t="s">
        <v>93</v>
      </c>
      <c r="G11" s="6" t="s">
        <v>29</v>
      </c>
      <c r="H11" s="6" t="s">
        <v>29</v>
      </c>
    </row>
    <row r="12" customFormat="false" ht="15" hidden="false" customHeight="false" outlineLevel="0" collapsed="false">
      <c r="A12" s="0" t="s">
        <v>57</v>
      </c>
      <c r="B12" s="5" t="n">
        <v>45410</v>
      </c>
      <c r="C12" s="0" t="n">
        <v>47.6</v>
      </c>
      <c r="D12" s="0" t="n">
        <v>64.9</v>
      </c>
      <c r="E12" s="6" t="s">
        <v>35</v>
      </c>
      <c r="F12" s="6" t="s">
        <v>94</v>
      </c>
      <c r="G12" s="6" t="s">
        <v>47</v>
      </c>
      <c r="H12" s="6" t="s">
        <v>23</v>
      </c>
    </row>
    <row r="13" customFormat="false" ht="15" hidden="false" customHeight="false" outlineLevel="0" collapsed="false">
      <c r="A13" s="0" t="s">
        <v>62</v>
      </c>
      <c r="B13" s="5" t="n">
        <v>45423</v>
      </c>
      <c r="C13" s="0" t="n">
        <v>38.3</v>
      </c>
      <c r="D13" s="0" t="n">
        <v>74.6</v>
      </c>
      <c r="E13" s="6" t="s">
        <v>35</v>
      </c>
      <c r="F13" s="6" t="s">
        <v>95</v>
      </c>
      <c r="G13" s="6" t="s">
        <v>47</v>
      </c>
      <c r="H13" s="6" t="s">
        <v>23</v>
      </c>
    </row>
    <row r="14" customFormat="false" ht="15" hidden="false" customHeight="false" outlineLevel="0" collapsed="false">
      <c r="A14" s="0" t="s">
        <v>65</v>
      </c>
      <c r="B14" s="5" t="n">
        <v>45407</v>
      </c>
      <c r="C14" s="0" t="n">
        <v>55.2</v>
      </c>
      <c r="D14" s="0" t="n">
        <v>57.3</v>
      </c>
      <c r="E14" s="6" t="s">
        <v>35</v>
      </c>
      <c r="F14" s="6" t="s">
        <v>96</v>
      </c>
      <c r="G14" s="6" t="s">
        <v>39</v>
      </c>
      <c r="H14" s="6" t="s">
        <v>23</v>
      </c>
    </row>
    <row r="15" customFormat="false" ht="15" hidden="false" customHeight="false" outlineLevel="0" collapsed="false">
      <c r="A15" s="0" t="s">
        <v>71</v>
      </c>
      <c r="B15" s="5" t="n">
        <v>45429</v>
      </c>
      <c r="C15" s="0" t="n">
        <v>61.8</v>
      </c>
      <c r="D15" s="0" t="n">
        <v>52.4</v>
      </c>
      <c r="E15" s="6" t="s">
        <v>40</v>
      </c>
      <c r="F15" s="6" t="s">
        <v>97</v>
      </c>
      <c r="G15" s="6" t="s">
        <v>29</v>
      </c>
      <c r="H15" s="6" t="s">
        <v>29</v>
      </c>
    </row>
    <row r="16" customFormat="false" ht="15" hidden="false" customHeight="false" outlineLevel="0" collapsed="false">
      <c r="A16" s="0" t="s">
        <v>75</v>
      </c>
      <c r="B16" s="5" t="n">
        <v>45435</v>
      </c>
      <c r="C16" s="0" t="n">
        <v>999</v>
      </c>
      <c r="D16" s="0" t="n">
        <v>62.1</v>
      </c>
      <c r="E16" s="6" t="s">
        <v>24</v>
      </c>
      <c r="F16" s="6" t="s">
        <v>98</v>
      </c>
      <c r="G16" s="6" t="s">
        <v>39</v>
      </c>
      <c r="H16" s="6" t="s">
        <v>23</v>
      </c>
      <c r="I16" s="6" t="s">
        <v>99</v>
      </c>
    </row>
    <row r="17" customFormat="false" ht="15" hidden="false" customHeight="false" outlineLevel="0" collapsed="false">
      <c r="A17" s="0" t="s">
        <v>77</v>
      </c>
      <c r="B17" s="5" t="n">
        <v>45420</v>
      </c>
      <c r="C17" s="0" t="n">
        <v>14.7</v>
      </c>
      <c r="D17" s="0" t="n">
        <v>59.4</v>
      </c>
      <c r="E17" s="6" t="s">
        <v>60</v>
      </c>
      <c r="F17" s="6" t="s">
        <v>100</v>
      </c>
      <c r="G17" s="6" t="s">
        <v>39</v>
      </c>
      <c r="H17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101</v>
      </c>
    </row>
    <row r="2" customFormat="false" ht="15" hidden="false" customHeight="false" outlineLevel="0" collapsed="false">
      <c r="A2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2026-09-25T03:05:28Z</dcterms:created>
  <dc:creator>openpyxl</dc:creator>
  <dc:description/>
  <dc:language>en-US</dc:language>
  <cp:lastModifiedBy/>
  <dcterms:modified xsi:type="dcterms:W3CDTF">2026-09-25T03:05:28Z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